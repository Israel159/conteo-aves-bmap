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enzo\Desktop\Data_Saiensss\Estadística\Trabajos (laborales)\BMAP\Proyectos\conteo-aves-bmap\Estimacion_error\datos_aves_marinas\2026\abril\RLOF\"/>
    </mc:Choice>
  </mc:AlternateContent>
  <xr:revisionPtr revIDLastSave="0" documentId="13_ncr:1_{D09044B1-12D1-4710-B5D1-3BB0B80AD1CB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Hoja1" sheetId="2" r:id="rId2"/>
  </sheets>
  <definedNames>
    <definedName name="_xlnm._FilterDatabase" localSheetId="1" hidden="1">Hoja1!$F$3:$L$29</definedName>
    <definedName name="_xlnm._FilterDatabase" localSheetId="0" hidden="1">Sheet1!$A$1:$C$127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" i="2" l="1"/>
  <c r="J5" i="2" s="1"/>
  <c r="K5" i="2" s="1"/>
  <c r="L5" i="2" s="1"/>
  <c r="I6" i="2"/>
  <c r="J6" i="2" s="1"/>
  <c r="K6" i="2" s="1"/>
  <c r="L6" i="2" s="1"/>
  <c r="I7" i="2"/>
  <c r="J7" i="2" s="1"/>
  <c r="K7" i="2" s="1"/>
  <c r="L7" i="2" s="1"/>
  <c r="I8" i="2"/>
  <c r="J8" i="2" s="1"/>
  <c r="K8" i="2" s="1"/>
  <c r="L8" i="2" s="1"/>
  <c r="I9" i="2"/>
  <c r="J9" i="2" s="1"/>
  <c r="K9" i="2" s="1"/>
  <c r="L9" i="2" s="1"/>
  <c r="I10" i="2"/>
  <c r="J10" i="2" s="1"/>
  <c r="K10" i="2" s="1"/>
  <c r="L10" i="2" s="1"/>
  <c r="I11" i="2"/>
  <c r="J11" i="2" s="1"/>
  <c r="K11" i="2" s="1"/>
  <c r="L11" i="2" s="1"/>
  <c r="I12" i="2"/>
  <c r="J12" i="2" s="1"/>
  <c r="K12" i="2" s="1"/>
  <c r="L12" i="2" s="1"/>
  <c r="I13" i="2"/>
  <c r="J13" i="2" s="1"/>
  <c r="K13" i="2" s="1"/>
  <c r="L13" i="2" s="1"/>
  <c r="I14" i="2"/>
  <c r="J14" i="2" s="1"/>
  <c r="K14" i="2" s="1"/>
  <c r="L14" i="2" s="1"/>
  <c r="I15" i="2"/>
  <c r="J15" i="2" s="1"/>
  <c r="K15" i="2" s="1"/>
  <c r="L15" i="2" s="1"/>
  <c r="I16" i="2"/>
  <c r="J16" i="2" s="1"/>
  <c r="K16" i="2" s="1"/>
  <c r="L16" i="2" s="1"/>
  <c r="I17" i="2"/>
  <c r="J17" i="2" s="1"/>
  <c r="K17" i="2" s="1"/>
  <c r="L17" i="2" s="1"/>
  <c r="I18" i="2"/>
  <c r="J18" i="2" s="1"/>
  <c r="K18" i="2" s="1"/>
  <c r="L18" i="2" s="1"/>
  <c r="I19" i="2"/>
  <c r="J19" i="2" s="1"/>
  <c r="K19" i="2" s="1"/>
  <c r="L19" i="2" s="1"/>
  <c r="I20" i="2"/>
  <c r="J20" i="2" s="1"/>
  <c r="K20" i="2" s="1"/>
  <c r="L20" i="2" s="1"/>
  <c r="I21" i="2"/>
  <c r="J21" i="2" s="1"/>
  <c r="K21" i="2" s="1"/>
  <c r="L21" i="2" s="1"/>
  <c r="I22" i="2"/>
  <c r="J22" i="2" s="1"/>
  <c r="K22" i="2" s="1"/>
  <c r="L22" i="2" s="1"/>
  <c r="I23" i="2"/>
  <c r="J23" i="2" s="1"/>
  <c r="K23" i="2" s="1"/>
  <c r="L23" i="2" s="1"/>
  <c r="I24" i="2"/>
  <c r="J24" i="2" s="1"/>
  <c r="K24" i="2" s="1"/>
  <c r="L24" i="2" s="1"/>
  <c r="I25" i="2"/>
  <c r="J25" i="2" s="1"/>
  <c r="K25" i="2" s="1"/>
  <c r="L25" i="2" s="1"/>
  <c r="I26" i="2"/>
  <c r="J26" i="2" s="1"/>
  <c r="K26" i="2" s="1"/>
  <c r="L26" i="2" s="1"/>
  <c r="I27" i="2"/>
  <c r="J27" i="2" s="1"/>
  <c r="K27" i="2" s="1"/>
  <c r="L27" i="2" s="1"/>
  <c r="I28" i="2"/>
  <c r="J28" i="2" s="1"/>
  <c r="K28" i="2" s="1"/>
  <c r="L28" i="2" s="1"/>
  <c r="I29" i="2"/>
  <c r="J29" i="2" s="1"/>
  <c r="K29" i="2" s="1"/>
  <c r="L29" i="2" s="1"/>
  <c r="I4" i="2"/>
  <c r="J4" i="2" s="1"/>
  <c r="K4" i="2" l="1"/>
  <c r="O6" i="2" l="1"/>
  <c r="L4" i="2"/>
  <c r="O7" i="2" s="1"/>
</calcChain>
</file>

<file path=xl/sharedStrings.xml><?xml version="1.0" encoding="utf-8"?>
<sst xmlns="http://schemas.openxmlformats.org/spreadsheetml/2006/main" count="190" uniqueCount="20">
  <si>
    <t>FOTO</t>
  </si>
  <si>
    <t>Clase</t>
  </si>
  <si>
    <t>Real</t>
  </si>
  <si>
    <t>zarcillo</t>
  </si>
  <si>
    <t>pelicano juvenil</t>
  </si>
  <si>
    <t>gallinazo cabeza roja adulto</t>
  </si>
  <si>
    <t>Gaviota dominicana juvenil</t>
  </si>
  <si>
    <t>gaviota peruana adulto</t>
  </si>
  <si>
    <t>cushuri adulto</t>
  </si>
  <si>
    <t>piquero adulto</t>
  </si>
  <si>
    <t>pinguino adulto</t>
  </si>
  <si>
    <t>pinguino juvenil</t>
  </si>
  <si>
    <t>pelicano adulto</t>
  </si>
  <si>
    <t>Gaviota dominicana adulto</t>
  </si>
  <si>
    <t>x_0.20</t>
  </si>
  <si>
    <t>Error</t>
  </si>
  <si>
    <t>abs(Error)</t>
  </si>
  <si>
    <t>MAE</t>
  </si>
  <si>
    <t>sMAPE</t>
  </si>
  <si>
    <t>Smape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</si>
</sst>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127"/>
  <sheetViews>
    <sheetView topLeftCell="A75" workbookViewId="0">
      <selection sqref="A1:C126"/>
    </sheetView>
  </sheetViews>
  <sheetFormatPr baseColWidth="10" defaultColWidth="9.140625" defaultRowHeight="15" x14ac:dyDescent="0.25"/>
  <cols>
    <col min="2" max="2" width="25.5703125" bestFit="1" customWidth="1"/>
  </cols>
  <sheetData>
    <row r="1" spans="1:3" s="1" customFormat="1" x14ac:dyDescent="0.25">
      <c r="A1" s="1" t="s">
        <v>0</v>
      </c>
      <c r="B1" s="1" t="s">
        <v>1</v>
      </c>
      <c r="C1" s="1" t="s">
        <v>2</v>
      </c>
    </row>
    <row r="2" spans="1:3" x14ac:dyDescent="0.25">
      <c r="A2">
        <v>764</v>
      </c>
      <c r="B2" t="s">
        <v>3</v>
      </c>
      <c r="C2">
        <v>39</v>
      </c>
    </row>
    <row r="3" spans="1:3" x14ac:dyDescent="0.25">
      <c r="A3">
        <v>772</v>
      </c>
      <c r="B3" t="s">
        <v>3</v>
      </c>
      <c r="C3">
        <v>69</v>
      </c>
    </row>
    <row r="4" spans="1:3" hidden="1" x14ac:dyDescent="0.25">
      <c r="A4">
        <v>772</v>
      </c>
      <c r="B4" t="s">
        <v>4</v>
      </c>
      <c r="C4">
        <v>1</v>
      </c>
    </row>
    <row r="5" spans="1:3" hidden="1" x14ac:dyDescent="0.25">
      <c r="A5">
        <v>772</v>
      </c>
      <c r="B5" t="s">
        <v>5</v>
      </c>
      <c r="C5">
        <v>2</v>
      </c>
    </row>
    <row r="6" spans="1:3" x14ac:dyDescent="0.25">
      <c r="A6">
        <v>775</v>
      </c>
      <c r="B6" t="s">
        <v>3</v>
      </c>
      <c r="C6">
        <v>169</v>
      </c>
    </row>
    <row r="7" spans="1:3" x14ac:dyDescent="0.25">
      <c r="A7">
        <v>784</v>
      </c>
      <c r="B7" t="s">
        <v>3</v>
      </c>
      <c r="C7">
        <v>175</v>
      </c>
    </row>
    <row r="8" spans="1:3" hidden="1" x14ac:dyDescent="0.25">
      <c r="A8">
        <v>784</v>
      </c>
      <c r="B8" t="s">
        <v>4</v>
      </c>
      <c r="C8">
        <v>3</v>
      </c>
    </row>
    <row r="9" spans="1:3" hidden="1" x14ac:dyDescent="0.25">
      <c r="A9">
        <v>784</v>
      </c>
      <c r="B9" t="s">
        <v>5</v>
      </c>
      <c r="C9">
        <v>1</v>
      </c>
    </row>
    <row r="10" spans="1:3" x14ac:dyDescent="0.25">
      <c r="A10">
        <v>788</v>
      </c>
      <c r="B10" t="s">
        <v>3</v>
      </c>
      <c r="C10">
        <v>134</v>
      </c>
    </row>
    <row r="11" spans="1:3" hidden="1" x14ac:dyDescent="0.25">
      <c r="A11">
        <v>788</v>
      </c>
      <c r="B11" t="s">
        <v>6</v>
      </c>
      <c r="C11">
        <v>1</v>
      </c>
    </row>
    <row r="12" spans="1:3" x14ac:dyDescent="0.25">
      <c r="A12">
        <v>793</v>
      </c>
      <c r="B12" t="s">
        <v>3</v>
      </c>
      <c r="C12">
        <v>167</v>
      </c>
    </row>
    <row r="13" spans="1:3" hidden="1" x14ac:dyDescent="0.25">
      <c r="A13">
        <v>793</v>
      </c>
      <c r="B13" t="s">
        <v>7</v>
      </c>
      <c r="C13">
        <v>1</v>
      </c>
    </row>
    <row r="14" spans="1:3" x14ac:dyDescent="0.25">
      <c r="A14">
        <v>799</v>
      </c>
      <c r="B14" t="s">
        <v>3</v>
      </c>
      <c r="C14">
        <v>182</v>
      </c>
    </row>
    <row r="15" spans="1:3" hidden="1" x14ac:dyDescent="0.25">
      <c r="A15">
        <v>799</v>
      </c>
      <c r="B15" t="s">
        <v>8</v>
      </c>
      <c r="C15">
        <v>1</v>
      </c>
    </row>
    <row r="16" spans="1:3" x14ac:dyDescent="0.25">
      <c r="A16">
        <v>804</v>
      </c>
      <c r="B16" t="s">
        <v>3</v>
      </c>
      <c r="C16">
        <v>218</v>
      </c>
    </row>
    <row r="17" spans="1:3" hidden="1" x14ac:dyDescent="0.25">
      <c r="A17">
        <v>804</v>
      </c>
      <c r="B17" t="s">
        <v>4</v>
      </c>
      <c r="C17">
        <v>1</v>
      </c>
    </row>
    <row r="18" spans="1:3" x14ac:dyDescent="0.25">
      <c r="A18">
        <v>808</v>
      </c>
      <c r="B18" t="s">
        <v>3</v>
      </c>
      <c r="C18">
        <v>161</v>
      </c>
    </row>
    <row r="19" spans="1:3" hidden="1" x14ac:dyDescent="0.25">
      <c r="A19">
        <v>808</v>
      </c>
      <c r="B19" t="s">
        <v>4</v>
      </c>
      <c r="C19">
        <v>10</v>
      </c>
    </row>
    <row r="20" spans="1:3" x14ac:dyDescent="0.25">
      <c r="A20">
        <v>813</v>
      </c>
      <c r="B20" t="s">
        <v>3</v>
      </c>
      <c r="C20">
        <v>234</v>
      </c>
    </row>
    <row r="21" spans="1:3" hidden="1" x14ac:dyDescent="0.25">
      <c r="A21">
        <v>813</v>
      </c>
      <c r="B21" t="s">
        <v>6</v>
      </c>
      <c r="C21">
        <v>1</v>
      </c>
    </row>
    <row r="22" spans="1:3" hidden="1" x14ac:dyDescent="0.25">
      <c r="A22">
        <v>813</v>
      </c>
      <c r="B22" t="s">
        <v>4</v>
      </c>
      <c r="C22">
        <v>4</v>
      </c>
    </row>
    <row r="23" spans="1:3" x14ac:dyDescent="0.25">
      <c r="A23">
        <v>818</v>
      </c>
      <c r="B23" t="s">
        <v>3</v>
      </c>
      <c r="C23">
        <v>254</v>
      </c>
    </row>
    <row r="24" spans="1:3" hidden="1" x14ac:dyDescent="0.25">
      <c r="A24">
        <v>818</v>
      </c>
      <c r="B24" t="s">
        <v>4</v>
      </c>
      <c r="C24">
        <v>1</v>
      </c>
    </row>
    <row r="25" spans="1:3" x14ac:dyDescent="0.25">
      <c r="A25">
        <v>823</v>
      </c>
      <c r="B25" t="s">
        <v>3</v>
      </c>
      <c r="C25">
        <v>174</v>
      </c>
    </row>
    <row r="26" spans="1:3" hidden="1" x14ac:dyDescent="0.25">
      <c r="A26">
        <v>823</v>
      </c>
      <c r="B26" t="s">
        <v>7</v>
      </c>
      <c r="C26">
        <v>1</v>
      </c>
    </row>
    <row r="27" spans="1:3" hidden="1" x14ac:dyDescent="0.25">
      <c r="A27">
        <v>823</v>
      </c>
      <c r="B27" t="s">
        <v>4</v>
      </c>
      <c r="C27">
        <v>5</v>
      </c>
    </row>
    <row r="28" spans="1:3" x14ac:dyDescent="0.25">
      <c r="A28">
        <v>828</v>
      </c>
      <c r="B28" t="s">
        <v>3</v>
      </c>
      <c r="C28">
        <v>228</v>
      </c>
    </row>
    <row r="29" spans="1:3" hidden="1" x14ac:dyDescent="0.25">
      <c r="A29">
        <v>828</v>
      </c>
      <c r="B29" t="s">
        <v>9</v>
      </c>
      <c r="C29">
        <v>1</v>
      </c>
    </row>
    <row r="30" spans="1:3" hidden="1" x14ac:dyDescent="0.25">
      <c r="A30">
        <v>828</v>
      </c>
      <c r="B30" t="s">
        <v>4</v>
      </c>
      <c r="C30">
        <v>3</v>
      </c>
    </row>
    <row r="31" spans="1:3" x14ac:dyDescent="0.25">
      <c r="A31">
        <v>833</v>
      </c>
      <c r="B31" t="s">
        <v>3</v>
      </c>
      <c r="C31">
        <v>220</v>
      </c>
    </row>
    <row r="32" spans="1:3" hidden="1" x14ac:dyDescent="0.25">
      <c r="A32">
        <v>833</v>
      </c>
      <c r="B32" t="s">
        <v>8</v>
      </c>
      <c r="C32">
        <v>2</v>
      </c>
    </row>
    <row r="33" spans="1:3" x14ac:dyDescent="0.25">
      <c r="A33">
        <v>837</v>
      </c>
      <c r="B33" t="s">
        <v>3</v>
      </c>
      <c r="C33">
        <v>117</v>
      </c>
    </row>
    <row r="34" spans="1:3" hidden="1" x14ac:dyDescent="0.25">
      <c r="A34">
        <v>837</v>
      </c>
      <c r="B34" t="s">
        <v>8</v>
      </c>
      <c r="C34">
        <v>3</v>
      </c>
    </row>
    <row r="35" spans="1:3" hidden="1" x14ac:dyDescent="0.25">
      <c r="A35">
        <v>837</v>
      </c>
      <c r="B35" t="s">
        <v>4</v>
      </c>
      <c r="C35">
        <v>3</v>
      </c>
    </row>
    <row r="36" spans="1:3" x14ac:dyDescent="0.25">
      <c r="A36">
        <v>846</v>
      </c>
      <c r="B36" t="s">
        <v>3</v>
      </c>
      <c r="C36">
        <v>10</v>
      </c>
    </row>
    <row r="37" spans="1:3" hidden="1" x14ac:dyDescent="0.25">
      <c r="A37">
        <v>846</v>
      </c>
      <c r="B37" t="s">
        <v>9</v>
      </c>
      <c r="C37">
        <v>12</v>
      </c>
    </row>
    <row r="38" spans="1:3" hidden="1" x14ac:dyDescent="0.25">
      <c r="A38">
        <v>846</v>
      </c>
      <c r="B38" t="s">
        <v>4</v>
      </c>
      <c r="C38">
        <v>1</v>
      </c>
    </row>
    <row r="39" spans="1:3" x14ac:dyDescent="0.25">
      <c r="A39">
        <v>846</v>
      </c>
      <c r="B39" t="s">
        <v>3</v>
      </c>
      <c r="C39">
        <v>11</v>
      </c>
    </row>
    <row r="40" spans="1:3" hidden="1" x14ac:dyDescent="0.25">
      <c r="A40">
        <v>862</v>
      </c>
      <c r="B40" t="s">
        <v>10</v>
      </c>
      <c r="C40">
        <v>15</v>
      </c>
    </row>
    <row r="41" spans="1:3" hidden="1" x14ac:dyDescent="0.25">
      <c r="A41">
        <v>862</v>
      </c>
      <c r="B41" t="s">
        <v>11</v>
      </c>
      <c r="C41">
        <v>9</v>
      </c>
    </row>
    <row r="42" spans="1:3" hidden="1" x14ac:dyDescent="0.25">
      <c r="A42">
        <v>870</v>
      </c>
      <c r="B42" t="s">
        <v>10</v>
      </c>
      <c r="C42">
        <v>8</v>
      </c>
    </row>
    <row r="43" spans="1:3" hidden="1" x14ac:dyDescent="0.25">
      <c r="A43">
        <v>870</v>
      </c>
      <c r="B43" t="s">
        <v>11</v>
      </c>
      <c r="C43">
        <v>17</v>
      </c>
    </row>
    <row r="44" spans="1:3" x14ac:dyDescent="0.25">
      <c r="A44">
        <v>870</v>
      </c>
      <c r="B44" t="s">
        <v>3</v>
      </c>
      <c r="C44">
        <v>70</v>
      </c>
    </row>
    <row r="45" spans="1:3" hidden="1" x14ac:dyDescent="0.25">
      <c r="A45">
        <v>870</v>
      </c>
      <c r="B45" t="s">
        <v>4</v>
      </c>
      <c r="C45">
        <v>3</v>
      </c>
    </row>
    <row r="46" spans="1:3" hidden="1" x14ac:dyDescent="0.25">
      <c r="A46">
        <v>877</v>
      </c>
      <c r="B46" t="s">
        <v>10</v>
      </c>
      <c r="C46">
        <v>15</v>
      </c>
    </row>
    <row r="47" spans="1:3" hidden="1" x14ac:dyDescent="0.25">
      <c r="A47">
        <v>877</v>
      </c>
      <c r="B47" t="s">
        <v>11</v>
      </c>
      <c r="C47">
        <v>5</v>
      </c>
    </row>
    <row r="48" spans="1:3" x14ac:dyDescent="0.25">
      <c r="A48">
        <v>877</v>
      </c>
      <c r="B48" t="s">
        <v>3</v>
      </c>
      <c r="C48">
        <v>63</v>
      </c>
    </row>
    <row r="49" spans="1:3" hidden="1" x14ac:dyDescent="0.25">
      <c r="A49">
        <v>877</v>
      </c>
      <c r="B49" t="s">
        <v>4</v>
      </c>
      <c r="C49">
        <v>1</v>
      </c>
    </row>
    <row r="50" spans="1:3" hidden="1" x14ac:dyDescent="0.25">
      <c r="A50">
        <v>879</v>
      </c>
      <c r="B50" t="s">
        <v>10</v>
      </c>
      <c r="C50">
        <v>11</v>
      </c>
    </row>
    <row r="51" spans="1:3" hidden="1" x14ac:dyDescent="0.25">
      <c r="A51">
        <v>879</v>
      </c>
      <c r="B51" t="s">
        <v>11</v>
      </c>
      <c r="C51">
        <v>5</v>
      </c>
    </row>
    <row r="52" spans="1:3" x14ac:dyDescent="0.25">
      <c r="A52">
        <v>879</v>
      </c>
      <c r="B52" t="s">
        <v>3</v>
      </c>
      <c r="C52">
        <v>24</v>
      </c>
    </row>
    <row r="53" spans="1:3" hidden="1" x14ac:dyDescent="0.25">
      <c r="A53">
        <v>882</v>
      </c>
      <c r="B53" t="s">
        <v>10</v>
      </c>
      <c r="C53">
        <v>20</v>
      </c>
    </row>
    <row r="54" spans="1:3" hidden="1" x14ac:dyDescent="0.25">
      <c r="A54">
        <v>882</v>
      </c>
      <c r="B54" t="s">
        <v>11</v>
      </c>
      <c r="C54">
        <v>16</v>
      </c>
    </row>
    <row r="55" spans="1:3" x14ac:dyDescent="0.25">
      <c r="A55">
        <v>882</v>
      </c>
      <c r="B55" t="s">
        <v>3</v>
      </c>
      <c r="C55">
        <v>27</v>
      </c>
    </row>
    <row r="56" spans="1:3" hidden="1" x14ac:dyDescent="0.25">
      <c r="A56">
        <v>882</v>
      </c>
      <c r="B56" t="s">
        <v>12</v>
      </c>
      <c r="C56">
        <v>1</v>
      </c>
    </row>
    <row r="57" spans="1:3" hidden="1" x14ac:dyDescent="0.25">
      <c r="A57">
        <v>882</v>
      </c>
      <c r="B57" t="s">
        <v>4</v>
      </c>
      <c r="C57">
        <v>6</v>
      </c>
    </row>
    <row r="58" spans="1:3" hidden="1" x14ac:dyDescent="0.25">
      <c r="A58">
        <v>885</v>
      </c>
      <c r="B58" t="s">
        <v>10</v>
      </c>
      <c r="C58">
        <v>21</v>
      </c>
    </row>
    <row r="59" spans="1:3" hidden="1" x14ac:dyDescent="0.25">
      <c r="A59">
        <v>885</v>
      </c>
      <c r="B59" t="s">
        <v>11</v>
      </c>
      <c r="C59">
        <v>19</v>
      </c>
    </row>
    <row r="60" spans="1:3" x14ac:dyDescent="0.25">
      <c r="A60">
        <v>885</v>
      </c>
      <c r="B60" t="s">
        <v>3</v>
      </c>
      <c r="C60">
        <v>11</v>
      </c>
    </row>
    <row r="61" spans="1:3" hidden="1" x14ac:dyDescent="0.25">
      <c r="A61">
        <v>885</v>
      </c>
      <c r="B61" t="s">
        <v>4</v>
      </c>
      <c r="C61">
        <v>13</v>
      </c>
    </row>
    <row r="62" spans="1:3" hidden="1" x14ac:dyDescent="0.25">
      <c r="A62">
        <v>890</v>
      </c>
      <c r="B62" t="s">
        <v>10</v>
      </c>
      <c r="C62">
        <v>14</v>
      </c>
    </row>
    <row r="63" spans="1:3" hidden="1" x14ac:dyDescent="0.25">
      <c r="A63">
        <v>890</v>
      </c>
      <c r="B63" t="s">
        <v>11</v>
      </c>
      <c r="C63">
        <v>29</v>
      </c>
    </row>
    <row r="64" spans="1:3" x14ac:dyDescent="0.25">
      <c r="A64">
        <v>890</v>
      </c>
      <c r="B64" t="s">
        <v>3</v>
      </c>
      <c r="C64">
        <v>27</v>
      </c>
    </row>
    <row r="65" spans="1:3" hidden="1" x14ac:dyDescent="0.25">
      <c r="A65">
        <v>890</v>
      </c>
      <c r="B65" t="s">
        <v>12</v>
      </c>
      <c r="C65">
        <v>2</v>
      </c>
    </row>
    <row r="66" spans="1:3" hidden="1" x14ac:dyDescent="0.25">
      <c r="A66">
        <v>890</v>
      </c>
      <c r="B66" t="s">
        <v>4</v>
      </c>
      <c r="C66">
        <v>15</v>
      </c>
    </row>
    <row r="67" spans="1:3" hidden="1" x14ac:dyDescent="0.25">
      <c r="A67">
        <v>893</v>
      </c>
      <c r="B67" t="s">
        <v>11</v>
      </c>
      <c r="C67">
        <v>17</v>
      </c>
    </row>
    <row r="68" spans="1:3" hidden="1" x14ac:dyDescent="0.25">
      <c r="A68">
        <v>899</v>
      </c>
      <c r="B68" t="s">
        <v>10</v>
      </c>
      <c r="C68">
        <v>15</v>
      </c>
    </row>
    <row r="69" spans="1:3" hidden="1" x14ac:dyDescent="0.25">
      <c r="A69">
        <v>899</v>
      </c>
      <c r="B69" t="s">
        <v>11</v>
      </c>
      <c r="C69">
        <v>17</v>
      </c>
    </row>
    <row r="70" spans="1:3" x14ac:dyDescent="0.25">
      <c r="A70">
        <v>899</v>
      </c>
      <c r="B70" t="s">
        <v>3</v>
      </c>
      <c r="C70">
        <v>71</v>
      </c>
    </row>
    <row r="71" spans="1:3" hidden="1" x14ac:dyDescent="0.25">
      <c r="A71">
        <v>899</v>
      </c>
      <c r="B71" t="s">
        <v>12</v>
      </c>
      <c r="C71">
        <v>1</v>
      </c>
    </row>
    <row r="72" spans="1:3" hidden="1" x14ac:dyDescent="0.25">
      <c r="A72">
        <v>899</v>
      </c>
      <c r="B72" t="s">
        <v>4</v>
      </c>
      <c r="C72">
        <v>1</v>
      </c>
    </row>
    <row r="73" spans="1:3" hidden="1" x14ac:dyDescent="0.25">
      <c r="A73">
        <v>903</v>
      </c>
      <c r="B73" t="s">
        <v>10</v>
      </c>
      <c r="C73">
        <v>8</v>
      </c>
    </row>
    <row r="74" spans="1:3" hidden="1" x14ac:dyDescent="0.25">
      <c r="A74">
        <v>903</v>
      </c>
      <c r="B74" t="s">
        <v>11</v>
      </c>
      <c r="C74">
        <v>18</v>
      </c>
    </row>
    <row r="75" spans="1:3" x14ac:dyDescent="0.25">
      <c r="A75">
        <v>903</v>
      </c>
      <c r="B75" t="s">
        <v>3</v>
      </c>
      <c r="C75">
        <v>102</v>
      </c>
    </row>
    <row r="76" spans="1:3" hidden="1" x14ac:dyDescent="0.25">
      <c r="A76">
        <v>903</v>
      </c>
      <c r="B76" t="s">
        <v>4</v>
      </c>
      <c r="C76">
        <v>1</v>
      </c>
    </row>
    <row r="77" spans="1:3" x14ac:dyDescent="0.25">
      <c r="A77">
        <v>907</v>
      </c>
      <c r="B77" t="s">
        <v>3</v>
      </c>
      <c r="C77">
        <v>109</v>
      </c>
    </row>
    <row r="78" spans="1:3" hidden="1" x14ac:dyDescent="0.25">
      <c r="A78">
        <v>907</v>
      </c>
      <c r="B78" t="s">
        <v>4</v>
      </c>
      <c r="C78">
        <v>5</v>
      </c>
    </row>
    <row r="79" spans="1:3" hidden="1" x14ac:dyDescent="0.25">
      <c r="A79">
        <v>910</v>
      </c>
      <c r="B79" t="s">
        <v>11</v>
      </c>
      <c r="C79">
        <v>3</v>
      </c>
    </row>
    <row r="80" spans="1:3" x14ac:dyDescent="0.25">
      <c r="A80">
        <v>910</v>
      </c>
      <c r="B80" t="s">
        <v>3</v>
      </c>
      <c r="C80">
        <v>55</v>
      </c>
    </row>
    <row r="81" spans="1:3" hidden="1" x14ac:dyDescent="0.25">
      <c r="A81">
        <v>910</v>
      </c>
      <c r="B81" t="s">
        <v>4</v>
      </c>
      <c r="C81">
        <v>7</v>
      </c>
    </row>
    <row r="82" spans="1:3" x14ac:dyDescent="0.25">
      <c r="A82">
        <v>913</v>
      </c>
      <c r="B82" t="s">
        <v>3</v>
      </c>
      <c r="C82">
        <v>13</v>
      </c>
    </row>
    <row r="83" spans="1:3" hidden="1" x14ac:dyDescent="0.25">
      <c r="A83">
        <v>917</v>
      </c>
      <c r="B83" t="s">
        <v>11</v>
      </c>
      <c r="C83">
        <v>8</v>
      </c>
    </row>
    <row r="84" spans="1:3" hidden="1" x14ac:dyDescent="0.25">
      <c r="A84">
        <v>927</v>
      </c>
      <c r="B84" t="s">
        <v>11</v>
      </c>
      <c r="C84">
        <v>27</v>
      </c>
    </row>
    <row r="85" spans="1:3" x14ac:dyDescent="0.25">
      <c r="A85">
        <v>936</v>
      </c>
      <c r="B85" t="s">
        <v>3</v>
      </c>
      <c r="C85">
        <v>174</v>
      </c>
    </row>
    <row r="86" spans="1:3" hidden="1" x14ac:dyDescent="0.25">
      <c r="A86">
        <v>936</v>
      </c>
      <c r="B86" t="s">
        <v>6</v>
      </c>
      <c r="C86">
        <v>1</v>
      </c>
    </row>
    <row r="87" spans="1:3" hidden="1" x14ac:dyDescent="0.25">
      <c r="A87">
        <v>936</v>
      </c>
      <c r="B87" t="s">
        <v>12</v>
      </c>
      <c r="C87">
        <v>1</v>
      </c>
    </row>
    <row r="88" spans="1:3" x14ac:dyDescent="0.25">
      <c r="A88">
        <v>938</v>
      </c>
      <c r="B88" t="s">
        <v>3</v>
      </c>
      <c r="C88">
        <v>72</v>
      </c>
    </row>
    <row r="89" spans="1:3" hidden="1" x14ac:dyDescent="0.25">
      <c r="A89">
        <v>938</v>
      </c>
      <c r="B89" t="s">
        <v>8</v>
      </c>
      <c r="C89">
        <v>1</v>
      </c>
    </row>
    <row r="90" spans="1:3" hidden="1" x14ac:dyDescent="0.25">
      <c r="A90">
        <v>938</v>
      </c>
      <c r="B90" t="s">
        <v>4</v>
      </c>
      <c r="C90">
        <v>5</v>
      </c>
    </row>
    <row r="91" spans="1:3" hidden="1" x14ac:dyDescent="0.25">
      <c r="A91">
        <v>940</v>
      </c>
      <c r="B91" t="s">
        <v>10</v>
      </c>
      <c r="C91">
        <v>5</v>
      </c>
    </row>
    <row r="92" spans="1:3" hidden="1" x14ac:dyDescent="0.25">
      <c r="A92">
        <v>940</v>
      </c>
      <c r="B92" t="s">
        <v>11</v>
      </c>
      <c r="C92">
        <v>6</v>
      </c>
    </row>
    <row r="93" spans="1:3" x14ac:dyDescent="0.25">
      <c r="A93">
        <v>940</v>
      </c>
      <c r="B93" t="s">
        <v>3</v>
      </c>
      <c r="C93">
        <v>40</v>
      </c>
    </row>
    <row r="94" spans="1:3" hidden="1" x14ac:dyDescent="0.25">
      <c r="A94">
        <v>940</v>
      </c>
      <c r="B94" t="s">
        <v>4</v>
      </c>
      <c r="C94">
        <v>2</v>
      </c>
    </row>
    <row r="95" spans="1:3" hidden="1" x14ac:dyDescent="0.25">
      <c r="A95">
        <v>944</v>
      </c>
      <c r="B95" t="s">
        <v>10</v>
      </c>
      <c r="C95">
        <v>3</v>
      </c>
    </row>
    <row r="96" spans="1:3" hidden="1" x14ac:dyDescent="0.25">
      <c r="A96">
        <v>944</v>
      </c>
      <c r="B96" t="s">
        <v>11</v>
      </c>
      <c r="C96">
        <v>1</v>
      </c>
    </row>
    <row r="97" spans="1:3" x14ac:dyDescent="0.25">
      <c r="A97">
        <v>944</v>
      </c>
      <c r="B97" t="s">
        <v>3</v>
      </c>
      <c r="C97">
        <v>2</v>
      </c>
    </row>
    <row r="98" spans="1:3" hidden="1" x14ac:dyDescent="0.25">
      <c r="A98">
        <v>946</v>
      </c>
      <c r="B98" t="s">
        <v>10</v>
      </c>
      <c r="C98">
        <v>2</v>
      </c>
    </row>
    <row r="99" spans="1:3" hidden="1" x14ac:dyDescent="0.25">
      <c r="A99">
        <v>946</v>
      </c>
      <c r="B99" t="s">
        <v>11</v>
      </c>
      <c r="C99">
        <v>1</v>
      </c>
    </row>
    <row r="100" spans="1:3" x14ac:dyDescent="0.25">
      <c r="A100">
        <v>946</v>
      </c>
      <c r="B100" t="s">
        <v>3</v>
      </c>
      <c r="C100">
        <v>31</v>
      </c>
    </row>
    <row r="101" spans="1:3" hidden="1" x14ac:dyDescent="0.25">
      <c r="A101">
        <v>946</v>
      </c>
      <c r="B101" t="s">
        <v>4</v>
      </c>
      <c r="C101">
        <v>1</v>
      </c>
    </row>
    <row r="102" spans="1:3" x14ac:dyDescent="0.25">
      <c r="A102">
        <v>947</v>
      </c>
      <c r="B102" t="s">
        <v>3</v>
      </c>
      <c r="C102">
        <v>69</v>
      </c>
    </row>
    <row r="103" spans="1:3" hidden="1" x14ac:dyDescent="0.25">
      <c r="A103">
        <v>948</v>
      </c>
      <c r="B103" t="s">
        <v>10</v>
      </c>
      <c r="C103">
        <v>6</v>
      </c>
    </row>
    <row r="104" spans="1:3" hidden="1" x14ac:dyDescent="0.25">
      <c r="A104">
        <v>948</v>
      </c>
      <c r="B104" t="s">
        <v>11</v>
      </c>
      <c r="C104">
        <v>30</v>
      </c>
    </row>
    <row r="105" spans="1:3" hidden="1" x14ac:dyDescent="0.25">
      <c r="A105">
        <v>950</v>
      </c>
      <c r="B105" t="s">
        <v>10</v>
      </c>
      <c r="C105">
        <v>4</v>
      </c>
    </row>
    <row r="106" spans="1:3" hidden="1" x14ac:dyDescent="0.25">
      <c r="A106">
        <v>950</v>
      </c>
      <c r="B106" t="s">
        <v>11</v>
      </c>
      <c r="C106">
        <v>9</v>
      </c>
    </row>
    <row r="107" spans="1:3" hidden="1" x14ac:dyDescent="0.25">
      <c r="A107">
        <v>953</v>
      </c>
      <c r="B107" t="s">
        <v>10</v>
      </c>
      <c r="C107">
        <v>1</v>
      </c>
    </row>
    <row r="108" spans="1:3" x14ac:dyDescent="0.25">
      <c r="A108">
        <v>953</v>
      </c>
      <c r="B108" t="s">
        <v>3</v>
      </c>
      <c r="C108">
        <v>10</v>
      </c>
    </row>
    <row r="109" spans="1:3" hidden="1" x14ac:dyDescent="0.25">
      <c r="A109">
        <v>953</v>
      </c>
      <c r="B109" t="s">
        <v>4</v>
      </c>
      <c r="C109">
        <v>2</v>
      </c>
    </row>
    <row r="110" spans="1:3" hidden="1" x14ac:dyDescent="0.25">
      <c r="A110">
        <v>954</v>
      </c>
      <c r="B110" t="s">
        <v>10</v>
      </c>
      <c r="C110">
        <v>1</v>
      </c>
    </row>
    <row r="111" spans="1:3" x14ac:dyDescent="0.25">
      <c r="A111">
        <v>954</v>
      </c>
      <c r="B111" t="s">
        <v>3</v>
      </c>
      <c r="C111">
        <v>40</v>
      </c>
    </row>
    <row r="112" spans="1:3" hidden="1" x14ac:dyDescent="0.25">
      <c r="A112">
        <v>959</v>
      </c>
      <c r="B112" t="s">
        <v>10</v>
      </c>
      <c r="C112">
        <v>2</v>
      </c>
    </row>
    <row r="113" spans="1:3" x14ac:dyDescent="0.25">
      <c r="A113">
        <v>959</v>
      </c>
      <c r="B113" t="s">
        <v>3</v>
      </c>
      <c r="C113">
        <v>63</v>
      </c>
    </row>
    <row r="114" spans="1:3" hidden="1" x14ac:dyDescent="0.25">
      <c r="A114">
        <v>959</v>
      </c>
      <c r="B114" t="s">
        <v>4</v>
      </c>
      <c r="C114">
        <v>2</v>
      </c>
    </row>
    <row r="115" spans="1:3" x14ac:dyDescent="0.25">
      <c r="A115">
        <v>962</v>
      </c>
      <c r="B115" t="s">
        <v>3</v>
      </c>
      <c r="C115">
        <v>61</v>
      </c>
    </row>
    <row r="116" spans="1:3" hidden="1" x14ac:dyDescent="0.25">
      <c r="A116">
        <v>962</v>
      </c>
      <c r="B116" t="s">
        <v>4</v>
      </c>
      <c r="C116">
        <v>2</v>
      </c>
    </row>
    <row r="117" spans="1:3" hidden="1" x14ac:dyDescent="0.25">
      <c r="A117">
        <v>965</v>
      </c>
      <c r="B117" t="s">
        <v>10</v>
      </c>
      <c r="C117">
        <v>3</v>
      </c>
    </row>
    <row r="118" spans="1:3" x14ac:dyDescent="0.25">
      <c r="A118">
        <v>965</v>
      </c>
      <c r="B118" t="s">
        <v>3</v>
      </c>
      <c r="C118">
        <v>41</v>
      </c>
    </row>
    <row r="119" spans="1:3" hidden="1" x14ac:dyDescent="0.25">
      <c r="A119">
        <v>965</v>
      </c>
      <c r="B119" t="s">
        <v>9</v>
      </c>
      <c r="C119">
        <v>1</v>
      </c>
    </row>
    <row r="120" spans="1:3" x14ac:dyDescent="0.25">
      <c r="A120">
        <v>968</v>
      </c>
      <c r="B120" t="s">
        <v>3</v>
      </c>
      <c r="C120">
        <v>15</v>
      </c>
    </row>
    <row r="121" spans="1:3" hidden="1" x14ac:dyDescent="0.25">
      <c r="A121">
        <v>968</v>
      </c>
      <c r="B121" t="s">
        <v>13</v>
      </c>
      <c r="C121">
        <v>1</v>
      </c>
    </row>
    <row r="122" spans="1:3" hidden="1" x14ac:dyDescent="0.25">
      <c r="A122">
        <v>970</v>
      </c>
      <c r="B122" t="s">
        <v>10</v>
      </c>
      <c r="C122">
        <v>1</v>
      </c>
    </row>
    <row r="123" spans="1:3" x14ac:dyDescent="0.25">
      <c r="A123">
        <v>970</v>
      </c>
      <c r="B123" t="s">
        <v>3</v>
      </c>
      <c r="C123">
        <v>3</v>
      </c>
    </row>
    <row r="124" spans="1:3" x14ac:dyDescent="0.25">
      <c r="A124">
        <v>983</v>
      </c>
      <c r="B124" t="s">
        <v>3</v>
      </c>
      <c r="C124">
        <v>4</v>
      </c>
    </row>
    <row r="125" spans="1:3" x14ac:dyDescent="0.25">
      <c r="A125">
        <v>993</v>
      </c>
      <c r="B125" t="s">
        <v>3</v>
      </c>
      <c r="C125">
        <v>3</v>
      </c>
    </row>
    <row r="126" spans="1:3" x14ac:dyDescent="0.25">
      <c r="A126">
        <v>997</v>
      </c>
      <c r="B126" t="s">
        <v>3</v>
      </c>
      <c r="C126">
        <v>11</v>
      </c>
    </row>
    <row r="127" spans="1:3" hidden="1" x14ac:dyDescent="0.25">
      <c r="A127">
        <v>997</v>
      </c>
      <c r="B127" t="s">
        <v>4</v>
      </c>
      <c r="C127">
        <v>4</v>
      </c>
    </row>
  </sheetData>
  <autoFilter ref="A1:C127" xr:uid="{00000000-0001-0000-0000-000000000000}">
    <filterColumn colId="1">
      <filters>
        <filter val="zarcillo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841F4-1925-4FDA-9F67-00E3EE1323CD}">
  <dimension ref="A1:O45"/>
  <sheetViews>
    <sheetView tabSelected="1" workbookViewId="0">
      <selection activeCell="H19" sqref="H19"/>
    </sheetView>
  </sheetViews>
  <sheetFormatPr baseColWidth="10" defaultRowHeight="15" x14ac:dyDescent="0.25"/>
  <sheetData>
    <row r="1" spans="1:15" x14ac:dyDescent="0.25">
      <c r="A1" t="s">
        <v>0</v>
      </c>
      <c r="B1" t="s">
        <v>1</v>
      </c>
      <c r="C1" t="s">
        <v>2</v>
      </c>
    </row>
    <row r="2" spans="1:15" x14ac:dyDescent="0.25">
      <c r="A2">
        <v>764</v>
      </c>
      <c r="B2" t="s">
        <v>3</v>
      </c>
      <c r="C2">
        <v>39</v>
      </c>
    </row>
    <row r="3" spans="1:15" x14ac:dyDescent="0.25">
      <c r="A3">
        <v>772</v>
      </c>
      <c r="B3" t="s">
        <v>3</v>
      </c>
      <c r="C3">
        <v>69</v>
      </c>
      <c r="F3" t="s">
        <v>0</v>
      </c>
      <c r="G3" t="s">
        <v>1</v>
      </c>
      <c r="H3" t="s">
        <v>14</v>
      </c>
      <c r="I3" t="s">
        <v>2</v>
      </c>
      <c r="J3" t="s">
        <v>15</v>
      </c>
      <c r="K3" t="s">
        <v>16</v>
      </c>
      <c r="L3" t="s">
        <v>18</v>
      </c>
    </row>
    <row r="4" spans="1:15" x14ac:dyDescent="0.25">
      <c r="A4">
        <v>775</v>
      </c>
      <c r="B4" t="s">
        <v>3</v>
      </c>
      <c r="C4">
        <v>169</v>
      </c>
      <c r="F4">
        <v>846</v>
      </c>
      <c r="G4" t="s">
        <v>3</v>
      </c>
      <c r="H4">
        <v>15</v>
      </c>
      <c r="I4">
        <f>VLOOKUP(F4,$A$1:$C$45,3,0)</f>
        <v>10</v>
      </c>
      <c r="J4">
        <f>H4-I4</f>
        <v>5</v>
      </c>
      <c r="K4">
        <f>ABS(J4)</f>
        <v>5</v>
      </c>
      <c r="L4">
        <f>K4/(H4+I4)*2</f>
        <v>0.4</v>
      </c>
    </row>
    <row r="5" spans="1:15" x14ac:dyDescent="0.25">
      <c r="A5">
        <v>784</v>
      </c>
      <c r="B5" t="s">
        <v>3</v>
      </c>
      <c r="C5">
        <v>175</v>
      </c>
      <c r="F5">
        <v>870</v>
      </c>
      <c r="G5" t="s">
        <v>3</v>
      </c>
      <c r="H5">
        <v>76</v>
      </c>
      <c r="I5">
        <f>VLOOKUP(F5,$A$1:$C$45,3,0)</f>
        <v>70</v>
      </c>
      <c r="J5">
        <f t="shared" ref="J5:J29" si="0">H5-I5</f>
        <v>6</v>
      </c>
      <c r="K5">
        <f t="shared" ref="K5:K29" si="1">ABS(J5)</f>
        <v>6</v>
      </c>
      <c r="L5">
        <f t="shared" ref="L5:L29" si="2">K5/(H5+I5)*2</f>
        <v>8.2191780821917804E-2</v>
      </c>
    </row>
    <row r="6" spans="1:15" x14ac:dyDescent="0.25">
      <c r="A6">
        <v>788</v>
      </c>
      <c r="B6" t="s">
        <v>3</v>
      </c>
      <c r="C6">
        <v>134</v>
      </c>
      <c r="F6">
        <v>877</v>
      </c>
      <c r="G6" t="s">
        <v>3</v>
      </c>
      <c r="H6">
        <v>63</v>
      </c>
      <c r="I6">
        <f>VLOOKUP(F6,$A$1:$C$45,3,0)</f>
        <v>63</v>
      </c>
      <c r="J6">
        <f t="shared" si="0"/>
        <v>0</v>
      </c>
      <c r="K6">
        <f t="shared" si="1"/>
        <v>0</v>
      </c>
      <c r="L6">
        <f t="shared" si="2"/>
        <v>0</v>
      </c>
      <c r="N6" t="s">
        <v>17</v>
      </c>
      <c r="O6">
        <f>AVERAGE(K4:K29)</f>
        <v>7.384615384615385</v>
      </c>
    </row>
    <row r="7" spans="1:15" x14ac:dyDescent="0.25">
      <c r="A7">
        <v>793</v>
      </c>
      <c r="B7" t="s">
        <v>3</v>
      </c>
      <c r="C7">
        <v>167</v>
      </c>
      <c r="F7">
        <v>879</v>
      </c>
      <c r="G7" t="s">
        <v>3</v>
      </c>
      <c r="H7">
        <v>26</v>
      </c>
      <c r="I7">
        <f>VLOOKUP(F7,$A$1:$C$45,3,0)</f>
        <v>24</v>
      </c>
      <c r="J7">
        <f t="shared" si="0"/>
        <v>2</v>
      </c>
      <c r="K7">
        <f t="shared" si="1"/>
        <v>2</v>
      </c>
      <c r="L7">
        <f t="shared" si="2"/>
        <v>0.08</v>
      </c>
      <c r="N7" t="s">
        <v>19</v>
      </c>
      <c r="O7">
        <f>AVERAGE(L4:L29)</f>
        <v>0.35876637664559285</v>
      </c>
    </row>
    <row r="8" spans="1:15" x14ac:dyDescent="0.25">
      <c r="A8">
        <v>799</v>
      </c>
      <c r="B8" t="s">
        <v>3</v>
      </c>
      <c r="C8">
        <v>182</v>
      </c>
      <c r="F8">
        <v>882</v>
      </c>
      <c r="G8" t="s">
        <v>3</v>
      </c>
      <c r="H8">
        <v>35</v>
      </c>
      <c r="I8">
        <f>VLOOKUP(F8,$A$1:$C$45,3,0)</f>
        <v>27</v>
      </c>
      <c r="J8">
        <f t="shared" si="0"/>
        <v>8</v>
      </c>
      <c r="K8">
        <f t="shared" si="1"/>
        <v>8</v>
      </c>
      <c r="L8">
        <f t="shared" si="2"/>
        <v>0.25806451612903225</v>
      </c>
    </row>
    <row r="9" spans="1:15" x14ac:dyDescent="0.25">
      <c r="A9">
        <v>804</v>
      </c>
      <c r="B9" t="s">
        <v>3</v>
      </c>
      <c r="C9">
        <v>218</v>
      </c>
      <c r="F9">
        <v>885</v>
      </c>
      <c r="H9">
        <v>14</v>
      </c>
      <c r="I9">
        <f>VLOOKUP(F9,$A$1:$C$45,3,0)</f>
        <v>11</v>
      </c>
      <c r="J9">
        <f t="shared" si="0"/>
        <v>3</v>
      </c>
      <c r="K9">
        <f t="shared" si="1"/>
        <v>3</v>
      </c>
      <c r="L9">
        <f t="shared" si="2"/>
        <v>0.24</v>
      </c>
    </row>
    <row r="10" spans="1:15" x14ac:dyDescent="0.25">
      <c r="A10">
        <v>808</v>
      </c>
      <c r="B10" t="s">
        <v>3</v>
      </c>
      <c r="C10">
        <v>161</v>
      </c>
      <c r="F10">
        <v>890</v>
      </c>
      <c r="H10">
        <v>41</v>
      </c>
      <c r="I10">
        <f>VLOOKUP(F10,$A$1:$C$45,3,0)</f>
        <v>27</v>
      </c>
      <c r="J10">
        <f t="shared" si="0"/>
        <v>14</v>
      </c>
      <c r="K10">
        <f t="shared" si="1"/>
        <v>14</v>
      </c>
      <c r="L10">
        <f t="shared" si="2"/>
        <v>0.41176470588235292</v>
      </c>
    </row>
    <row r="11" spans="1:15" x14ac:dyDescent="0.25">
      <c r="A11">
        <v>813</v>
      </c>
      <c r="B11" t="s">
        <v>3</v>
      </c>
      <c r="C11">
        <v>234</v>
      </c>
      <c r="F11">
        <v>899</v>
      </c>
      <c r="H11">
        <v>72</v>
      </c>
      <c r="I11">
        <f>VLOOKUP(F11,$A$1:$C$45,3,0)</f>
        <v>71</v>
      </c>
      <c r="J11">
        <f t="shared" si="0"/>
        <v>1</v>
      </c>
      <c r="K11">
        <f t="shared" si="1"/>
        <v>1</v>
      </c>
      <c r="L11">
        <f t="shared" si="2"/>
        <v>1.3986013986013986E-2</v>
      </c>
    </row>
    <row r="12" spans="1:15" x14ac:dyDescent="0.25">
      <c r="A12">
        <v>818</v>
      </c>
      <c r="B12" t="s">
        <v>3</v>
      </c>
      <c r="C12">
        <v>254</v>
      </c>
      <c r="F12">
        <v>903</v>
      </c>
      <c r="H12">
        <v>111</v>
      </c>
      <c r="I12">
        <f>VLOOKUP(F12,$A$1:$C$45,3,0)</f>
        <v>102</v>
      </c>
      <c r="J12">
        <f t="shared" si="0"/>
        <v>9</v>
      </c>
      <c r="K12">
        <f t="shared" si="1"/>
        <v>9</v>
      </c>
      <c r="L12">
        <f t="shared" si="2"/>
        <v>8.4507042253521125E-2</v>
      </c>
    </row>
    <row r="13" spans="1:15" x14ac:dyDescent="0.25">
      <c r="A13">
        <v>823</v>
      </c>
      <c r="B13" t="s">
        <v>3</v>
      </c>
      <c r="C13">
        <v>174</v>
      </c>
      <c r="F13">
        <v>907</v>
      </c>
      <c r="H13">
        <v>107</v>
      </c>
      <c r="I13">
        <f>VLOOKUP(F13,$A$1:$C$45,3,0)</f>
        <v>109</v>
      </c>
      <c r="J13">
        <f t="shared" si="0"/>
        <v>-2</v>
      </c>
      <c r="K13">
        <f t="shared" si="1"/>
        <v>2</v>
      </c>
      <c r="L13">
        <f t="shared" si="2"/>
        <v>1.8518518518518517E-2</v>
      </c>
    </row>
    <row r="14" spans="1:15" x14ac:dyDescent="0.25">
      <c r="A14">
        <v>828</v>
      </c>
      <c r="B14" t="s">
        <v>3</v>
      </c>
      <c r="C14">
        <v>228</v>
      </c>
      <c r="F14">
        <v>910</v>
      </c>
      <c r="H14">
        <v>42</v>
      </c>
      <c r="I14">
        <f>VLOOKUP(F14,$A$1:$C$45,3,0)</f>
        <v>55</v>
      </c>
      <c r="J14">
        <f t="shared" si="0"/>
        <v>-13</v>
      </c>
      <c r="K14">
        <f t="shared" si="1"/>
        <v>13</v>
      </c>
      <c r="L14">
        <f t="shared" si="2"/>
        <v>0.26804123711340205</v>
      </c>
    </row>
    <row r="15" spans="1:15" x14ac:dyDescent="0.25">
      <c r="A15">
        <v>833</v>
      </c>
      <c r="B15" t="s">
        <v>3</v>
      </c>
      <c r="C15">
        <v>220</v>
      </c>
      <c r="F15">
        <v>913</v>
      </c>
      <c r="H15">
        <v>12</v>
      </c>
      <c r="I15">
        <f>VLOOKUP(F15,$A$1:$C$45,3,0)</f>
        <v>13</v>
      </c>
      <c r="J15">
        <f t="shared" si="0"/>
        <v>-1</v>
      </c>
      <c r="K15">
        <f t="shared" si="1"/>
        <v>1</v>
      </c>
      <c r="L15">
        <f t="shared" si="2"/>
        <v>0.08</v>
      </c>
    </row>
    <row r="16" spans="1:15" x14ac:dyDescent="0.25">
      <c r="A16">
        <v>837</v>
      </c>
      <c r="B16" t="s">
        <v>3</v>
      </c>
      <c r="C16">
        <v>117</v>
      </c>
      <c r="F16">
        <v>936</v>
      </c>
      <c r="H16">
        <v>209</v>
      </c>
      <c r="I16">
        <f>VLOOKUP(F16,$A$1:$C$45,3,0)</f>
        <v>174</v>
      </c>
      <c r="J16">
        <f t="shared" si="0"/>
        <v>35</v>
      </c>
      <c r="K16">
        <f t="shared" si="1"/>
        <v>35</v>
      </c>
      <c r="L16">
        <f t="shared" si="2"/>
        <v>0.18276762402088773</v>
      </c>
    </row>
    <row r="17" spans="1:12" x14ac:dyDescent="0.25">
      <c r="A17">
        <v>846</v>
      </c>
      <c r="B17" t="s">
        <v>3</v>
      </c>
      <c r="C17">
        <v>10</v>
      </c>
      <c r="F17">
        <v>938</v>
      </c>
      <c r="H17">
        <v>78</v>
      </c>
      <c r="I17">
        <f>VLOOKUP(F17,$A$1:$C$45,3,0)</f>
        <v>72</v>
      </c>
      <c r="J17">
        <f t="shared" si="0"/>
        <v>6</v>
      </c>
      <c r="K17">
        <f t="shared" si="1"/>
        <v>6</v>
      </c>
      <c r="L17">
        <f t="shared" si="2"/>
        <v>0.08</v>
      </c>
    </row>
    <row r="18" spans="1:12" x14ac:dyDescent="0.25">
      <c r="A18">
        <v>846</v>
      </c>
      <c r="B18" t="s">
        <v>3</v>
      </c>
      <c r="C18">
        <v>11</v>
      </c>
      <c r="F18">
        <v>940</v>
      </c>
      <c r="H18">
        <v>34</v>
      </c>
      <c r="I18">
        <f>VLOOKUP(F18,$A$1:$C$45,3,0)</f>
        <v>40</v>
      </c>
      <c r="J18">
        <f t="shared" si="0"/>
        <v>-6</v>
      </c>
      <c r="K18">
        <f t="shared" si="1"/>
        <v>6</v>
      </c>
      <c r="L18">
        <f t="shared" si="2"/>
        <v>0.16216216216216217</v>
      </c>
    </row>
    <row r="19" spans="1:12" x14ac:dyDescent="0.25">
      <c r="A19">
        <v>870</v>
      </c>
      <c r="B19" t="s">
        <v>3</v>
      </c>
      <c r="C19">
        <v>70</v>
      </c>
      <c r="F19">
        <v>944</v>
      </c>
      <c r="H19">
        <v>1</v>
      </c>
      <c r="I19">
        <f>VLOOKUP(F19,$A$1:$C$45,3,0)</f>
        <v>2</v>
      </c>
      <c r="J19">
        <f t="shared" si="0"/>
        <v>-1</v>
      </c>
      <c r="K19">
        <f t="shared" si="1"/>
        <v>1</v>
      </c>
      <c r="L19">
        <f t="shared" si="2"/>
        <v>0.66666666666666663</v>
      </c>
    </row>
    <row r="20" spans="1:12" x14ac:dyDescent="0.25">
      <c r="A20">
        <v>877</v>
      </c>
      <c r="B20" t="s">
        <v>3</v>
      </c>
      <c r="C20">
        <v>63</v>
      </c>
      <c r="F20">
        <v>946</v>
      </c>
      <c r="H20">
        <v>22</v>
      </c>
      <c r="I20">
        <f>VLOOKUP(F20,$A$1:$C$45,3,0)</f>
        <v>31</v>
      </c>
      <c r="J20">
        <f t="shared" si="0"/>
        <v>-9</v>
      </c>
      <c r="K20">
        <f t="shared" si="1"/>
        <v>9</v>
      </c>
      <c r="L20">
        <f t="shared" si="2"/>
        <v>0.33962264150943394</v>
      </c>
    </row>
    <row r="21" spans="1:12" x14ac:dyDescent="0.25">
      <c r="A21">
        <v>879</v>
      </c>
      <c r="B21" t="s">
        <v>3</v>
      </c>
      <c r="C21">
        <v>24</v>
      </c>
      <c r="F21">
        <v>947</v>
      </c>
      <c r="H21">
        <v>63</v>
      </c>
      <c r="I21">
        <f>VLOOKUP(F21,$A$1:$C$45,3,0)</f>
        <v>69</v>
      </c>
      <c r="J21">
        <f t="shared" si="0"/>
        <v>-6</v>
      </c>
      <c r="K21">
        <f t="shared" si="1"/>
        <v>6</v>
      </c>
      <c r="L21">
        <f t="shared" si="2"/>
        <v>9.0909090909090912E-2</v>
      </c>
    </row>
    <row r="22" spans="1:12" x14ac:dyDescent="0.25">
      <c r="A22">
        <v>882</v>
      </c>
      <c r="B22" t="s">
        <v>3</v>
      </c>
      <c r="C22">
        <v>27</v>
      </c>
      <c r="F22">
        <v>953</v>
      </c>
      <c r="H22">
        <v>11</v>
      </c>
      <c r="I22">
        <f>VLOOKUP(F22,$A$1:$C$45,3,0)</f>
        <v>10</v>
      </c>
      <c r="J22">
        <f t="shared" si="0"/>
        <v>1</v>
      </c>
      <c r="K22">
        <f t="shared" si="1"/>
        <v>1</v>
      </c>
      <c r="L22">
        <f t="shared" si="2"/>
        <v>9.5238095238095233E-2</v>
      </c>
    </row>
    <row r="23" spans="1:12" x14ac:dyDescent="0.25">
      <c r="A23">
        <v>885</v>
      </c>
      <c r="B23" t="s">
        <v>3</v>
      </c>
      <c r="C23">
        <v>11</v>
      </c>
      <c r="F23">
        <v>954</v>
      </c>
      <c r="H23">
        <v>43</v>
      </c>
      <c r="I23">
        <f>VLOOKUP(F23,$A$1:$C$45,3,0)</f>
        <v>40</v>
      </c>
      <c r="J23">
        <f t="shared" si="0"/>
        <v>3</v>
      </c>
      <c r="K23">
        <f t="shared" si="1"/>
        <v>3</v>
      </c>
      <c r="L23">
        <f t="shared" si="2"/>
        <v>7.2289156626506021E-2</v>
      </c>
    </row>
    <row r="24" spans="1:12" x14ac:dyDescent="0.25">
      <c r="A24">
        <v>890</v>
      </c>
      <c r="B24" t="s">
        <v>3</v>
      </c>
      <c r="C24">
        <v>27</v>
      </c>
      <c r="F24">
        <v>959</v>
      </c>
      <c r="H24">
        <v>78</v>
      </c>
      <c r="I24">
        <f>VLOOKUP(F24,$A$1:$C$45,3,0)</f>
        <v>63</v>
      </c>
      <c r="J24">
        <f t="shared" si="0"/>
        <v>15</v>
      </c>
      <c r="K24">
        <f t="shared" si="1"/>
        <v>15</v>
      </c>
      <c r="L24">
        <f t="shared" si="2"/>
        <v>0.21276595744680851</v>
      </c>
    </row>
    <row r="25" spans="1:12" x14ac:dyDescent="0.25">
      <c r="A25">
        <v>899</v>
      </c>
      <c r="B25" t="s">
        <v>3</v>
      </c>
      <c r="C25">
        <v>71</v>
      </c>
      <c r="F25">
        <v>962</v>
      </c>
      <c r="H25">
        <v>51</v>
      </c>
      <c r="I25">
        <f>VLOOKUP(F25,$A$1:$C$45,3,0)</f>
        <v>61</v>
      </c>
      <c r="J25">
        <f t="shared" si="0"/>
        <v>-10</v>
      </c>
      <c r="K25">
        <f t="shared" si="1"/>
        <v>10</v>
      </c>
      <c r="L25">
        <f t="shared" si="2"/>
        <v>0.17857142857142858</v>
      </c>
    </row>
    <row r="26" spans="1:12" x14ac:dyDescent="0.25">
      <c r="A26">
        <v>903</v>
      </c>
      <c r="B26" t="s">
        <v>3</v>
      </c>
      <c r="C26">
        <v>102</v>
      </c>
      <c r="F26">
        <v>965</v>
      </c>
      <c r="H26">
        <v>30</v>
      </c>
      <c r="I26">
        <f>VLOOKUP(F26,$A$1:$C$45,3,0)</f>
        <v>41</v>
      </c>
      <c r="J26">
        <f t="shared" si="0"/>
        <v>-11</v>
      </c>
      <c r="K26">
        <f t="shared" si="1"/>
        <v>11</v>
      </c>
      <c r="L26">
        <f t="shared" si="2"/>
        <v>0.30985915492957744</v>
      </c>
    </row>
    <row r="27" spans="1:12" x14ac:dyDescent="0.25">
      <c r="A27">
        <v>907</v>
      </c>
      <c r="B27" t="s">
        <v>3</v>
      </c>
      <c r="C27">
        <v>109</v>
      </c>
      <c r="F27">
        <v>968</v>
      </c>
      <c r="H27">
        <v>3</v>
      </c>
      <c r="I27">
        <f>VLOOKUP(F27,$A$1:$C$45,3,0)</f>
        <v>15</v>
      </c>
      <c r="J27">
        <f t="shared" si="0"/>
        <v>-12</v>
      </c>
      <c r="K27">
        <f t="shared" si="1"/>
        <v>12</v>
      </c>
      <c r="L27">
        <f t="shared" si="2"/>
        <v>1.3333333333333333</v>
      </c>
    </row>
    <row r="28" spans="1:12" x14ac:dyDescent="0.25">
      <c r="A28">
        <v>910</v>
      </c>
      <c r="B28" t="s">
        <v>3</v>
      </c>
      <c r="C28">
        <v>55</v>
      </c>
      <c r="F28">
        <v>993</v>
      </c>
      <c r="H28">
        <v>0</v>
      </c>
      <c r="I28">
        <f>VLOOKUP(F28,$A$1:$C$45,3,0)</f>
        <v>3</v>
      </c>
      <c r="J28">
        <f t="shared" si="0"/>
        <v>-3</v>
      </c>
      <c r="K28">
        <f t="shared" si="1"/>
        <v>3</v>
      </c>
      <c r="L28">
        <f t="shared" si="2"/>
        <v>2</v>
      </c>
    </row>
    <row r="29" spans="1:12" x14ac:dyDescent="0.25">
      <c r="A29">
        <v>913</v>
      </c>
      <c r="B29" t="s">
        <v>3</v>
      </c>
      <c r="C29">
        <v>13</v>
      </c>
      <c r="F29">
        <v>997</v>
      </c>
      <c r="H29">
        <v>1</v>
      </c>
      <c r="I29">
        <f>VLOOKUP(F29,$A$1:$C$45,3,0)</f>
        <v>11</v>
      </c>
      <c r="J29">
        <f t="shared" si="0"/>
        <v>-10</v>
      </c>
      <c r="K29">
        <f t="shared" si="1"/>
        <v>10</v>
      </c>
      <c r="L29">
        <f t="shared" si="2"/>
        <v>1.6666666666666667</v>
      </c>
    </row>
    <row r="30" spans="1:12" x14ac:dyDescent="0.25">
      <c r="A30">
        <v>936</v>
      </c>
      <c r="B30" t="s">
        <v>3</v>
      </c>
      <c r="C30">
        <v>174</v>
      </c>
    </row>
    <row r="31" spans="1:12" x14ac:dyDescent="0.25">
      <c r="A31">
        <v>938</v>
      </c>
      <c r="B31" t="s">
        <v>3</v>
      </c>
      <c r="C31">
        <v>72</v>
      </c>
    </row>
    <row r="32" spans="1:12" x14ac:dyDescent="0.25">
      <c r="A32">
        <v>940</v>
      </c>
      <c r="B32" t="s">
        <v>3</v>
      </c>
      <c r="C32">
        <v>40</v>
      </c>
    </row>
    <row r="33" spans="1:3" x14ac:dyDescent="0.25">
      <c r="A33">
        <v>944</v>
      </c>
      <c r="B33" t="s">
        <v>3</v>
      </c>
      <c r="C33">
        <v>2</v>
      </c>
    </row>
    <row r="34" spans="1:3" x14ac:dyDescent="0.25">
      <c r="A34">
        <v>946</v>
      </c>
      <c r="B34" t="s">
        <v>3</v>
      </c>
      <c r="C34">
        <v>31</v>
      </c>
    </row>
    <row r="35" spans="1:3" x14ac:dyDescent="0.25">
      <c r="A35">
        <v>947</v>
      </c>
      <c r="B35" t="s">
        <v>3</v>
      </c>
      <c r="C35">
        <v>69</v>
      </c>
    </row>
    <row r="36" spans="1:3" x14ac:dyDescent="0.25">
      <c r="A36">
        <v>953</v>
      </c>
      <c r="B36" t="s">
        <v>3</v>
      </c>
      <c r="C36">
        <v>10</v>
      </c>
    </row>
    <row r="37" spans="1:3" x14ac:dyDescent="0.25">
      <c r="A37">
        <v>954</v>
      </c>
      <c r="B37" t="s">
        <v>3</v>
      </c>
      <c r="C37">
        <v>40</v>
      </c>
    </row>
    <row r="38" spans="1:3" x14ac:dyDescent="0.25">
      <c r="A38">
        <v>959</v>
      </c>
      <c r="B38" t="s">
        <v>3</v>
      </c>
      <c r="C38">
        <v>63</v>
      </c>
    </row>
    <row r="39" spans="1:3" x14ac:dyDescent="0.25">
      <c r="A39">
        <v>962</v>
      </c>
      <c r="B39" t="s">
        <v>3</v>
      </c>
      <c r="C39">
        <v>61</v>
      </c>
    </row>
    <row r="40" spans="1:3" x14ac:dyDescent="0.25">
      <c r="A40">
        <v>965</v>
      </c>
      <c r="B40" t="s">
        <v>3</v>
      </c>
      <c r="C40">
        <v>41</v>
      </c>
    </row>
    <row r="41" spans="1:3" x14ac:dyDescent="0.25">
      <c r="A41">
        <v>968</v>
      </c>
      <c r="B41" t="s">
        <v>3</v>
      </c>
      <c r="C41">
        <v>15</v>
      </c>
    </row>
    <row r="42" spans="1:3" x14ac:dyDescent="0.25">
      <c r="A42">
        <v>970</v>
      </c>
      <c r="B42" t="s">
        <v>3</v>
      </c>
      <c r="C42">
        <v>3</v>
      </c>
    </row>
    <row r="43" spans="1:3" x14ac:dyDescent="0.25">
      <c r="A43">
        <v>983</v>
      </c>
      <c r="B43" t="s">
        <v>3</v>
      </c>
      <c r="C43">
        <v>4</v>
      </c>
    </row>
    <row r="44" spans="1:3" x14ac:dyDescent="0.25">
      <c r="A44">
        <v>993</v>
      </c>
      <c r="B44" t="s">
        <v>3</v>
      </c>
      <c r="C44">
        <v>3</v>
      </c>
    </row>
    <row r="45" spans="1:3" x14ac:dyDescent="0.25">
      <c r="A45">
        <v>997</v>
      </c>
      <c r="B45" t="s">
        <v>3</v>
      </c>
      <c r="C45">
        <v>11</v>
      </c>
    </row>
  </sheetData>
  <autoFilter ref="F3:L29" xr:uid="{F58841F4-1925-4FDA-9F67-00E3EE1323C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ReNzO Israel Tovar Moscol</cp:lastModifiedBy>
  <dcterms:created xsi:type="dcterms:W3CDTF">2026-08-04T16:48:34Z</dcterms:created>
  <dcterms:modified xsi:type="dcterms:W3CDTF">2026-08-11T22:24:29Z</dcterms:modified>
</cp:coreProperties>
</file>