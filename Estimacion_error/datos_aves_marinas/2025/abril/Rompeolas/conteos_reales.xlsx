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5\abril\Rompeolas\"/>
    </mc:Choice>
  </mc:AlternateContent>
  <xr:revisionPtr revIDLastSave="0" documentId="13_ncr:1_{DC4085D9-721D-4DD5-8026-519D8AE7311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pelicano adulto" sheetId="4" r:id="rId2"/>
    <sheet name="Hoja3" sheetId="6" r:id="rId3"/>
    <sheet name="piquero adulto" sheetId="3" r:id="rId4"/>
    <sheet name="zarcillos" sheetId="2" r:id="rId5"/>
  </sheets>
  <definedNames>
    <definedName name="_xlnm._FilterDatabase" localSheetId="3" hidden="1">'piquero adulto'!$G$92:$L$178</definedName>
    <definedName name="_xlnm._FilterDatabase" localSheetId="0" hidden="1">Sheet1!$A$1:$C$340</definedName>
    <definedName name="_xlnm._FilterDatabase" localSheetId="4" hidden="1">zarcillos!$L$3:$S$118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4" l="1"/>
  <c r="O5" i="4"/>
  <c r="L6" i="4"/>
  <c r="L7" i="4"/>
  <c r="L8" i="4"/>
  <c r="L9" i="4"/>
  <c r="L10" i="4"/>
  <c r="L11" i="4"/>
  <c r="L12" i="4"/>
  <c r="L13" i="4"/>
  <c r="L14" i="4"/>
  <c r="L5" i="4"/>
  <c r="K6" i="4"/>
  <c r="K7" i="4"/>
  <c r="K8" i="4"/>
  <c r="K9" i="4"/>
  <c r="K10" i="4"/>
  <c r="K11" i="4"/>
  <c r="K12" i="4"/>
  <c r="K13" i="4"/>
  <c r="K14" i="4"/>
  <c r="K5" i="4"/>
  <c r="K59" i="3"/>
  <c r="L59" i="3" s="1"/>
  <c r="J59" i="3"/>
  <c r="O94" i="3"/>
  <c r="O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93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4" i="3"/>
  <c r="K4" i="3" s="1"/>
  <c r="L4" i="3" s="1"/>
  <c r="J5" i="3"/>
  <c r="K5" i="3" s="1"/>
  <c r="L5" i="3" s="1"/>
  <c r="J6" i="3"/>
  <c r="K6" i="3" s="1"/>
  <c r="L6" i="3" s="1"/>
  <c r="J7" i="3"/>
  <c r="K7" i="3" s="1"/>
  <c r="L7" i="3" s="1"/>
  <c r="J8" i="3"/>
  <c r="K8" i="3" s="1"/>
  <c r="L8" i="3" s="1"/>
  <c r="J9" i="3"/>
  <c r="K9" i="3" s="1"/>
  <c r="L9" i="3" s="1"/>
  <c r="J10" i="3"/>
  <c r="K10" i="3" s="1"/>
  <c r="L10" i="3" s="1"/>
  <c r="J11" i="3"/>
  <c r="K11" i="3" s="1"/>
  <c r="L11" i="3" s="1"/>
  <c r="J12" i="3"/>
  <c r="K12" i="3" s="1"/>
  <c r="L12" i="3" s="1"/>
  <c r="J13" i="3"/>
  <c r="K13" i="3" s="1"/>
  <c r="L13" i="3" s="1"/>
  <c r="J14" i="3"/>
  <c r="K14" i="3" s="1"/>
  <c r="L14" i="3" s="1"/>
  <c r="J15" i="3"/>
  <c r="K15" i="3" s="1"/>
  <c r="L15" i="3" s="1"/>
  <c r="J16" i="3"/>
  <c r="K16" i="3" s="1"/>
  <c r="L16" i="3" s="1"/>
  <c r="J17" i="3"/>
  <c r="K17" i="3" s="1"/>
  <c r="L17" i="3" s="1"/>
  <c r="J18" i="3"/>
  <c r="K18" i="3" s="1"/>
  <c r="L18" i="3" s="1"/>
  <c r="J19" i="3"/>
  <c r="K19" i="3" s="1"/>
  <c r="L19" i="3" s="1"/>
  <c r="J20" i="3"/>
  <c r="K20" i="3" s="1"/>
  <c r="L20" i="3" s="1"/>
  <c r="J21" i="3"/>
  <c r="K21" i="3" s="1"/>
  <c r="L21" i="3" s="1"/>
  <c r="J22" i="3"/>
  <c r="K22" i="3" s="1"/>
  <c r="L22" i="3" s="1"/>
  <c r="J23" i="3"/>
  <c r="K23" i="3" s="1"/>
  <c r="L23" i="3" s="1"/>
  <c r="J24" i="3"/>
  <c r="K24" i="3" s="1"/>
  <c r="L24" i="3" s="1"/>
  <c r="J25" i="3"/>
  <c r="K25" i="3" s="1"/>
  <c r="L25" i="3" s="1"/>
  <c r="J26" i="3"/>
  <c r="K26" i="3" s="1"/>
  <c r="L26" i="3" s="1"/>
  <c r="J27" i="3"/>
  <c r="K27" i="3" s="1"/>
  <c r="L27" i="3" s="1"/>
  <c r="J28" i="3"/>
  <c r="K28" i="3" s="1"/>
  <c r="L28" i="3" s="1"/>
  <c r="J29" i="3"/>
  <c r="K29" i="3" s="1"/>
  <c r="L29" i="3" s="1"/>
  <c r="J30" i="3"/>
  <c r="K30" i="3" s="1"/>
  <c r="L30" i="3" s="1"/>
  <c r="J31" i="3"/>
  <c r="K31" i="3" s="1"/>
  <c r="L31" i="3" s="1"/>
  <c r="J32" i="3"/>
  <c r="K32" i="3" s="1"/>
  <c r="L32" i="3" s="1"/>
  <c r="J33" i="3"/>
  <c r="K33" i="3" s="1"/>
  <c r="L33" i="3" s="1"/>
  <c r="J34" i="3"/>
  <c r="K34" i="3" s="1"/>
  <c r="L34" i="3" s="1"/>
  <c r="J35" i="3"/>
  <c r="K35" i="3" s="1"/>
  <c r="L35" i="3" s="1"/>
  <c r="J36" i="3"/>
  <c r="K36" i="3" s="1"/>
  <c r="L36" i="3" s="1"/>
  <c r="J37" i="3"/>
  <c r="K37" i="3" s="1"/>
  <c r="L37" i="3" s="1"/>
  <c r="J38" i="3"/>
  <c r="K38" i="3" s="1"/>
  <c r="L38" i="3" s="1"/>
  <c r="J39" i="3"/>
  <c r="K39" i="3" s="1"/>
  <c r="L39" i="3" s="1"/>
  <c r="J40" i="3"/>
  <c r="K40" i="3" s="1"/>
  <c r="L40" i="3" s="1"/>
  <c r="J41" i="3"/>
  <c r="K41" i="3" s="1"/>
  <c r="L41" i="3" s="1"/>
  <c r="J42" i="3"/>
  <c r="K42" i="3" s="1"/>
  <c r="L42" i="3" s="1"/>
  <c r="J43" i="3"/>
  <c r="K43" i="3" s="1"/>
  <c r="L43" i="3" s="1"/>
  <c r="J44" i="3"/>
  <c r="K44" i="3" s="1"/>
  <c r="L44" i="3" s="1"/>
  <c r="J45" i="3"/>
  <c r="K45" i="3" s="1"/>
  <c r="L45" i="3" s="1"/>
  <c r="J46" i="3"/>
  <c r="K46" i="3" s="1"/>
  <c r="L46" i="3" s="1"/>
  <c r="J47" i="3"/>
  <c r="K47" i="3" s="1"/>
  <c r="L47" i="3" s="1"/>
  <c r="J48" i="3"/>
  <c r="K48" i="3" s="1"/>
  <c r="L48" i="3" s="1"/>
  <c r="J49" i="3"/>
  <c r="K49" i="3" s="1"/>
  <c r="L49" i="3" s="1"/>
  <c r="J50" i="3"/>
  <c r="K50" i="3" s="1"/>
  <c r="L50" i="3" s="1"/>
  <c r="J51" i="3"/>
  <c r="K51" i="3" s="1"/>
  <c r="L51" i="3" s="1"/>
  <c r="J52" i="3"/>
  <c r="K52" i="3" s="1"/>
  <c r="L52" i="3" s="1"/>
  <c r="J53" i="3"/>
  <c r="K53" i="3" s="1"/>
  <c r="L53" i="3" s="1"/>
  <c r="J54" i="3"/>
  <c r="K54" i="3" s="1"/>
  <c r="L54" i="3" s="1"/>
  <c r="J55" i="3"/>
  <c r="K55" i="3" s="1"/>
  <c r="L55" i="3" s="1"/>
  <c r="J56" i="3"/>
  <c r="K56" i="3" s="1"/>
  <c r="L56" i="3" s="1"/>
  <c r="J57" i="3"/>
  <c r="K57" i="3" s="1"/>
  <c r="L57" i="3" s="1"/>
  <c r="J58" i="3"/>
  <c r="K58" i="3" s="1"/>
  <c r="L58" i="3" s="1"/>
  <c r="J60" i="3"/>
  <c r="K60" i="3" s="1"/>
  <c r="L60" i="3" s="1"/>
  <c r="J61" i="3"/>
  <c r="K61" i="3" s="1"/>
  <c r="L61" i="3" s="1"/>
  <c r="J62" i="3"/>
  <c r="K62" i="3" s="1"/>
  <c r="L62" i="3" s="1"/>
  <c r="J63" i="3"/>
  <c r="K63" i="3" s="1"/>
  <c r="L63" i="3" s="1"/>
  <c r="J64" i="3"/>
  <c r="K64" i="3" s="1"/>
  <c r="L64" i="3" s="1"/>
  <c r="J65" i="3"/>
  <c r="K65" i="3" s="1"/>
  <c r="L65" i="3" s="1"/>
  <c r="J66" i="3"/>
  <c r="K66" i="3" s="1"/>
  <c r="L66" i="3" s="1"/>
  <c r="J67" i="3"/>
  <c r="K67" i="3" s="1"/>
  <c r="L67" i="3" s="1"/>
  <c r="J68" i="3"/>
  <c r="K68" i="3" s="1"/>
  <c r="L68" i="3" s="1"/>
  <c r="J69" i="3"/>
  <c r="K69" i="3" s="1"/>
  <c r="L69" i="3" s="1"/>
  <c r="J70" i="3"/>
  <c r="K70" i="3" s="1"/>
  <c r="L70" i="3" s="1"/>
  <c r="J71" i="3"/>
  <c r="K71" i="3" s="1"/>
  <c r="L71" i="3" s="1"/>
  <c r="J72" i="3"/>
  <c r="K72" i="3" s="1"/>
  <c r="L72" i="3" s="1"/>
  <c r="J73" i="3"/>
  <c r="K73" i="3" s="1"/>
  <c r="L73" i="3" s="1"/>
  <c r="J74" i="3"/>
  <c r="K74" i="3" s="1"/>
  <c r="L74" i="3" s="1"/>
  <c r="J75" i="3"/>
  <c r="K75" i="3" s="1"/>
  <c r="L75" i="3" s="1"/>
  <c r="J76" i="3"/>
  <c r="K76" i="3" s="1"/>
  <c r="L76" i="3" s="1"/>
  <c r="J77" i="3"/>
  <c r="K77" i="3" s="1"/>
  <c r="L77" i="3" s="1"/>
  <c r="J78" i="3"/>
  <c r="K78" i="3" s="1"/>
  <c r="L78" i="3" s="1"/>
  <c r="J79" i="3"/>
  <c r="K79" i="3" s="1"/>
  <c r="L79" i="3" s="1"/>
  <c r="J80" i="3"/>
  <c r="K80" i="3" s="1"/>
  <c r="L80" i="3" s="1"/>
  <c r="J81" i="3"/>
  <c r="K81" i="3" s="1"/>
  <c r="L81" i="3" s="1"/>
  <c r="J82" i="3"/>
  <c r="K82" i="3" s="1"/>
  <c r="L82" i="3" s="1"/>
  <c r="J83" i="3"/>
  <c r="K83" i="3" s="1"/>
  <c r="L83" i="3" s="1"/>
  <c r="J84" i="3"/>
  <c r="K84" i="3" s="1"/>
  <c r="L84" i="3" s="1"/>
  <c r="J85" i="3"/>
  <c r="K85" i="3" s="1"/>
  <c r="L85" i="3" s="1"/>
  <c r="J86" i="3"/>
  <c r="K86" i="3" s="1"/>
  <c r="L86" i="3" s="1"/>
  <c r="J87" i="3"/>
  <c r="K87" i="3" s="1"/>
  <c r="L87" i="3" s="1"/>
  <c r="J88" i="3"/>
  <c r="K88" i="3" s="1"/>
  <c r="L88" i="3" s="1"/>
  <c r="J89" i="3"/>
  <c r="K89" i="3" s="1"/>
  <c r="L89" i="3" s="1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I14" i="2"/>
  <c r="T28" i="2"/>
  <c r="S6" i="2"/>
  <c r="T6" i="2" s="1"/>
  <c r="S7" i="2"/>
  <c r="T7" i="2" s="1"/>
  <c r="S8" i="2"/>
  <c r="T8" i="2" s="1"/>
  <c r="S28" i="2"/>
  <c r="S29" i="2"/>
  <c r="T29" i="2" s="1"/>
  <c r="S30" i="2"/>
  <c r="T30" i="2" s="1"/>
  <c r="S31" i="2"/>
  <c r="T31" i="2" s="1"/>
  <c r="S32" i="2"/>
  <c r="T32" i="2" s="1"/>
  <c r="S44" i="2"/>
  <c r="T44" i="2" s="1"/>
  <c r="S52" i="2"/>
  <c r="T52" i="2" s="1"/>
  <c r="S53" i="2"/>
  <c r="T53" i="2" s="1"/>
  <c r="S54" i="2"/>
  <c r="T54" i="2" s="1"/>
  <c r="S56" i="2"/>
  <c r="T56" i="2" s="1"/>
  <c r="S67" i="2"/>
  <c r="T67" i="2" s="1"/>
  <c r="S68" i="2"/>
  <c r="T68" i="2" s="1"/>
  <c r="S76" i="2"/>
  <c r="T76" i="2" s="1"/>
  <c r="S79" i="2"/>
  <c r="T79" i="2" s="1"/>
  <c r="S91" i="2"/>
  <c r="T91" i="2" s="1"/>
  <c r="S92" i="2"/>
  <c r="T92" i="2" s="1"/>
  <c r="S98" i="2"/>
  <c r="T98" i="2" s="1"/>
  <c r="S114" i="2"/>
  <c r="T114" i="2" s="1"/>
  <c r="S115" i="2"/>
  <c r="T115" i="2" s="1"/>
  <c r="O5" i="2"/>
  <c r="P5" i="2" s="1"/>
  <c r="Q5" i="2" s="1"/>
  <c r="O6" i="2"/>
  <c r="P6" i="2" s="1"/>
  <c r="Q6" i="2" s="1"/>
  <c r="O7" i="2"/>
  <c r="P7" i="2" s="1"/>
  <c r="Q7" i="2" s="1"/>
  <c r="O8" i="2"/>
  <c r="P8" i="2" s="1"/>
  <c r="Q8" i="2" s="1"/>
  <c r="O9" i="2"/>
  <c r="P9" i="2" s="1"/>
  <c r="Q9" i="2" s="1"/>
  <c r="O10" i="2"/>
  <c r="P10" i="2" s="1"/>
  <c r="Q10" i="2" s="1"/>
  <c r="O11" i="2"/>
  <c r="P11" i="2" s="1"/>
  <c r="Q11" i="2" s="1"/>
  <c r="O12" i="2"/>
  <c r="P12" i="2" s="1"/>
  <c r="Q12" i="2" s="1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P18" i="2" s="1"/>
  <c r="Q18" i="2" s="1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P24" i="2" s="1"/>
  <c r="Q24" i="2" s="1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P30" i="2" s="1"/>
  <c r="Q30" i="2" s="1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P36" i="2" s="1"/>
  <c r="Q36" i="2" s="1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P42" i="2" s="1"/>
  <c r="Q42" i="2" s="1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P48" i="2" s="1"/>
  <c r="Q48" i="2" s="1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P54" i="2" s="1"/>
  <c r="Q54" i="2" s="1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P60" i="2" s="1"/>
  <c r="Q60" i="2" s="1"/>
  <c r="O61" i="2"/>
  <c r="P61" i="2" s="1"/>
  <c r="Q61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P66" i="2" s="1"/>
  <c r="Q66" i="2" s="1"/>
  <c r="O67" i="2"/>
  <c r="P67" i="2" s="1"/>
  <c r="Q67" i="2" s="1"/>
  <c r="O68" i="2"/>
  <c r="P68" i="2" s="1"/>
  <c r="Q68" i="2" s="1"/>
  <c r="O69" i="2"/>
  <c r="P69" i="2" s="1"/>
  <c r="Q69" i="2" s="1"/>
  <c r="O70" i="2"/>
  <c r="P70" i="2" s="1"/>
  <c r="Q70" i="2" s="1"/>
  <c r="O71" i="2"/>
  <c r="P71" i="2" s="1"/>
  <c r="Q71" i="2" s="1"/>
  <c r="O72" i="2"/>
  <c r="P72" i="2" s="1"/>
  <c r="Q72" i="2" s="1"/>
  <c r="O73" i="2"/>
  <c r="P73" i="2" s="1"/>
  <c r="Q73" i="2" s="1"/>
  <c r="O74" i="2"/>
  <c r="P74" i="2" s="1"/>
  <c r="Q74" i="2" s="1"/>
  <c r="O75" i="2"/>
  <c r="P75" i="2" s="1"/>
  <c r="Q75" i="2" s="1"/>
  <c r="O76" i="2"/>
  <c r="P76" i="2" s="1"/>
  <c r="Q76" i="2" s="1"/>
  <c r="O77" i="2"/>
  <c r="P77" i="2" s="1"/>
  <c r="Q77" i="2" s="1"/>
  <c r="O78" i="2"/>
  <c r="P78" i="2" s="1"/>
  <c r="Q78" i="2" s="1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P84" i="2" s="1"/>
  <c r="Q84" i="2" s="1"/>
  <c r="O85" i="2"/>
  <c r="P85" i="2" s="1"/>
  <c r="Q85" i="2" s="1"/>
  <c r="O86" i="2"/>
  <c r="P86" i="2" s="1"/>
  <c r="Q86" i="2" s="1"/>
  <c r="O87" i="2"/>
  <c r="P87" i="2" s="1"/>
  <c r="Q87" i="2" s="1"/>
  <c r="O88" i="2"/>
  <c r="P88" i="2" s="1"/>
  <c r="Q88" i="2" s="1"/>
  <c r="O89" i="2"/>
  <c r="P89" i="2" s="1"/>
  <c r="Q89" i="2" s="1"/>
  <c r="O90" i="2"/>
  <c r="P90" i="2" s="1"/>
  <c r="Q90" i="2" s="1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P96" i="2" s="1"/>
  <c r="Q96" i="2" s="1"/>
  <c r="O97" i="2"/>
  <c r="P97" i="2" s="1"/>
  <c r="Q97" i="2" s="1"/>
  <c r="O98" i="2"/>
  <c r="P98" i="2" s="1"/>
  <c r="Q98" i="2" s="1"/>
  <c r="O99" i="2"/>
  <c r="P99" i="2" s="1"/>
  <c r="Q99" i="2" s="1"/>
  <c r="O100" i="2"/>
  <c r="P100" i="2" s="1"/>
  <c r="Q100" i="2" s="1"/>
  <c r="O101" i="2"/>
  <c r="P101" i="2" s="1"/>
  <c r="Q101" i="2" s="1"/>
  <c r="O102" i="2"/>
  <c r="P102" i="2" s="1"/>
  <c r="Q102" i="2" s="1"/>
  <c r="O103" i="2"/>
  <c r="P103" i="2" s="1"/>
  <c r="Q103" i="2" s="1"/>
  <c r="O104" i="2"/>
  <c r="P104" i="2" s="1"/>
  <c r="Q104" i="2" s="1"/>
  <c r="O105" i="2"/>
  <c r="P105" i="2" s="1"/>
  <c r="Q105" i="2" s="1"/>
  <c r="O106" i="2"/>
  <c r="P106" i="2" s="1"/>
  <c r="Q106" i="2" s="1"/>
  <c r="O107" i="2"/>
  <c r="P107" i="2" s="1"/>
  <c r="Q107" i="2" s="1"/>
  <c r="O108" i="2"/>
  <c r="P108" i="2" s="1"/>
  <c r="Q108" i="2" s="1"/>
  <c r="O109" i="2"/>
  <c r="P109" i="2" s="1"/>
  <c r="Q109" i="2" s="1"/>
  <c r="O110" i="2"/>
  <c r="P110" i="2" s="1"/>
  <c r="Q110" i="2" s="1"/>
  <c r="O111" i="2"/>
  <c r="P111" i="2" s="1"/>
  <c r="Q111" i="2" s="1"/>
  <c r="O112" i="2"/>
  <c r="P112" i="2" s="1"/>
  <c r="Q112" i="2" s="1"/>
  <c r="O113" i="2"/>
  <c r="P113" i="2" s="1"/>
  <c r="Q113" i="2" s="1"/>
  <c r="O114" i="2"/>
  <c r="P114" i="2" s="1"/>
  <c r="Q114" i="2" s="1"/>
  <c r="O115" i="2"/>
  <c r="P115" i="2" s="1"/>
  <c r="Q115" i="2" s="1"/>
  <c r="O116" i="2"/>
  <c r="P116" i="2" s="1"/>
  <c r="Q116" i="2" s="1"/>
  <c r="O117" i="2"/>
  <c r="P117" i="2" s="1"/>
  <c r="Q117" i="2" s="1"/>
  <c r="O118" i="2"/>
  <c r="P118" i="2" s="1"/>
  <c r="Q118" i="2" s="1"/>
  <c r="O4" i="2"/>
  <c r="P4" i="2" s="1"/>
  <c r="N11" i="3" l="1"/>
  <c r="O5" i="3"/>
  <c r="O6" i="3"/>
  <c r="S15" i="2"/>
  <c r="T15" i="2" s="1"/>
  <c r="S101" i="2"/>
  <c r="T101" i="2" s="1"/>
  <c r="S62" i="2"/>
  <c r="T62" i="2" s="1"/>
  <c r="S40" i="2"/>
  <c r="T40" i="2" s="1"/>
  <c r="S18" i="2"/>
  <c r="T18" i="2" s="1"/>
  <c r="S100" i="2"/>
  <c r="T100" i="2" s="1"/>
  <c r="S78" i="2"/>
  <c r="T78" i="2" s="1"/>
  <c r="S39" i="2"/>
  <c r="T39" i="2" s="1"/>
  <c r="S17" i="2"/>
  <c r="T17" i="2" s="1"/>
  <c r="S14" i="2"/>
  <c r="T14" i="2" s="1"/>
  <c r="S116" i="2"/>
  <c r="T116" i="2" s="1"/>
  <c r="S99" i="2"/>
  <c r="T99" i="2" s="1"/>
  <c r="S77" i="2"/>
  <c r="T77" i="2" s="1"/>
  <c r="S55" i="2"/>
  <c r="T55" i="2" s="1"/>
  <c r="S38" i="2"/>
  <c r="T38" i="2" s="1"/>
  <c r="S16" i="2"/>
  <c r="T16" i="2" s="1"/>
  <c r="S51" i="2"/>
  <c r="T51" i="2" s="1"/>
  <c r="S104" i="2"/>
  <c r="T104" i="2" s="1"/>
  <c r="S87" i="2"/>
  <c r="T87" i="2" s="1"/>
  <c r="S65" i="2"/>
  <c r="T65" i="2" s="1"/>
  <c r="S43" i="2"/>
  <c r="T43" i="2" s="1"/>
  <c r="S26" i="2"/>
  <c r="T26" i="2" s="1"/>
  <c r="S113" i="2"/>
  <c r="T113" i="2" s="1"/>
  <c r="S112" i="2"/>
  <c r="T112" i="2" s="1"/>
  <c r="S89" i="2"/>
  <c r="T89" i="2" s="1"/>
  <c r="S50" i="2"/>
  <c r="T50" i="2" s="1"/>
  <c r="S88" i="2"/>
  <c r="T88" i="2" s="1"/>
  <c r="S103" i="2"/>
  <c r="T103" i="2" s="1"/>
  <c r="S86" i="2"/>
  <c r="T86" i="2" s="1"/>
  <c r="S64" i="2"/>
  <c r="T64" i="2" s="1"/>
  <c r="S42" i="2"/>
  <c r="T42" i="2" s="1"/>
  <c r="S20" i="2"/>
  <c r="T20" i="2" s="1"/>
  <c r="S75" i="2"/>
  <c r="T75" i="2" s="1"/>
  <c r="S74" i="2"/>
  <c r="T74" i="2" s="1"/>
  <c r="S90" i="2"/>
  <c r="T90" i="2" s="1"/>
  <c r="S111" i="2"/>
  <c r="T111" i="2" s="1"/>
  <c r="S110" i="2"/>
  <c r="T110" i="2" s="1"/>
  <c r="S66" i="2"/>
  <c r="T66" i="2" s="1"/>
  <c r="S27" i="2"/>
  <c r="T27" i="2" s="1"/>
  <c r="S5" i="2"/>
  <c r="T5" i="2" s="1"/>
  <c r="S102" i="2"/>
  <c r="T102" i="2" s="1"/>
  <c r="S80" i="2"/>
  <c r="T80" i="2" s="1"/>
  <c r="S63" i="2"/>
  <c r="T63" i="2" s="1"/>
  <c r="S41" i="2"/>
  <c r="T41" i="2" s="1"/>
  <c r="S19" i="2"/>
  <c r="T19" i="2" s="1"/>
  <c r="S109" i="2"/>
  <c r="T109" i="2" s="1"/>
  <c r="S97" i="2"/>
  <c r="T97" i="2" s="1"/>
  <c r="S85" i="2"/>
  <c r="T85" i="2" s="1"/>
  <c r="S73" i="2"/>
  <c r="T73" i="2" s="1"/>
  <c r="S61" i="2"/>
  <c r="T61" i="2" s="1"/>
  <c r="S49" i="2"/>
  <c r="T49" i="2" s="1"/>
  <c r="S37" i="2"/>
  <c r="T37" i="2" s="1"/>
  <c r="S25" i="2"/>
  <c r="T25" i="2" s="1"/>
  <c r="S13" i="2"/>
  <c r="T13" i="2" s="1"/>
  <c r="S108" i="2"/>
  <c r="T108" i="2" s="1"/>
  <c r="S96" i="2"/>
  <c r="T96" i="2" s="1"/>
  <c r="S84" i="2"/>
  <c r="T84" i="2" s="1"/>
  <c r="S72" i="2"/>
  <c r="T72" i="2" s="1"/>
  <c r="S60" i="2"/>
  <c r="T60" i="2" s="1"/>
  <c r="S48" i="2"/>
  <c r="T48" i="2" s="1"/>
  <c r="S36" i="2"/>
  <c r="T36" i="2" s="1"/>
  <c r="S24" i="2"/>
  <c r="T24" i="2" s="1"/>
  <c r="S12" i="2"/>
  <c r="T12" i="2" s="1"/>
  <c r="S4" i="2"/>
  <c r="S107" i="2"/>
  <c r="T107" i="2" s="1"/>
  <c r="S95" i="2"/>
  <c r="T95" i="2" s="1"/>
  <c r="S83" i="2"/>
  <c r="T83" i="2" s="1"/>
  <c r="S71" i="2"/>
  <c r="T71" i="2" s="1"/>
  <c r="S59" i="2"/>
  <c r="T59" i="2" s="1"/>
  <c r="S47" i="2"/>
  <c r="T47" i="2" s="1"/>
  <c r="S35" i="2"/>
  <c r="T35" i="2" s="1"/>
  <c r="S23" i="2"/>
  <c r="T23" i="2" s="1"/>
  <c r="S11" i="2"/>
  <c r="T11" i="2" s="1"/>
  <c r="S118" i="2"/>
  <c r="T118" i="2" s="1"/>
  <c r="S106" i="2"/>
  <c r="T106" i="2" s="1"/>
  <c r="S94" i="2"/>
  <c r="T94" i="2" s="1"/>
  <c r="S82" i="2"/>
  <c r="T82" i="2" s="1"/>
  <c r="S70" i="2"/>
  <c r="T70" i="2" s="1"/>
  <c r="S58" i="2"/>
  <c r="T58" i="2" s="1"/>
  <c r="S46" i="2"/>
  <c r="T46" i="2" s="1"/>
  <c r="S34" i="2"/>
  <c r="T34" i="2" s="1"/>
  <c r="S22" i="2"/>
  <c r="T22" i="2" s="1"/>
  <c r="S10" i="2"/>
  <c r="T10" i="2" s="1"/>
  <c r="S117" i="2"/>
  <c r="T117" i="2" s="1"/>
  <c r="S105" i="2"/>
  <c r="T105" i="2" s="1"/>
  <c r="S93" i="2"/>
  <c r="T93" i="2" s="1"/>
  <c r="S81" i="2"/>
  <c r="T81" i="2" s="1"/>
  <c r="S69" i="2"/>
  <c r="T69" i="2" s="1"/>
  <c r="S57" i="2"/>
  <c r="T57" i="2" s="1"/>
  <c r="S45" i="2"/>
  <c r="T45" i="2" s="1"/>
  <c r="S33" i="2"/>
  <c r="T33" i="2" s="1"/>
  <c r="S21" i="2"/>
  <c r="T21" i="2" s="1"/>
  <c r="S9" i="2"/>
  <c r="T9" i="2" s="1"/>
  <c r="Q4" i="2"/>
  <c r="I8" i="2" s="1"/>
  <c r="I7" i="2"/>
  <c r="I13" i="2" l="1"/>
  <c r="T4" i="2"/>
</calcChain>
</file>

<file path=xl/sharedStrings.xml><?xml version="1.0" encoding="utf-8"?>
<sst xmlns="http://schemas.openxmlformats.org/spreadsheetml/2006/main" count="612" uniqueCount="40">
  <si>
    <t>FOTO</t>
  </si>
  <si>
    <t>Clase</t>
  </si>
  <si>
    <t>Real</t>
  </si>
  <si>
    <t>pinguino adulto</t>
  </si>
  <si>
    <t>zarcillo</t>
  </si>
  <si>
    <t>cushuri adulto</t>
  </si>
  <si>
    <t>piquero adulto</t>
  </si>
  <si>
    <t>piquero juvenil</t>
  </si>
  <si>
    <t>cushuri juvenil</t>
  </si>
  <si>
    <t>pinguino juvenil</t>
  </si>
  <si>
    <t>pelicano juvenil</t>
  </si>
  <si>
    <t>gaviota peruana juvenil</t>
  </si>
  <si>
    <t>guanay adulto</t>
  </si>
  <si>
    <t>pelicano adulto</t>
  </si>
  <si>
    <t>Ostrero negro adulto</t>
  </si>
  <si>
    <t>gallinazo cabeza roja adulto</t>
  </si>
  <si>
    <t>x_0.20</t>
  </si>
  <si>
    <t>abs(erorr)</t>
  </si>
  <si>
    <t>MAE</t>
  </si>
  <si>
    <t>Smape</t>
  </si>
  <si>
    <t>sMAPE</t>
  </si>
  <si>
    <t>x_0.48</t>
  </si>
  <si>
    <t>Sin sahi</t>
  </si>
  <si>
    <t>Error_sahi</t>
  </si>
  <si>
    <t>Con sahi</t>
  </si>
  <si>
    <t>SMAPE</t>
  </si>
  <si>
    <t>smape_sahi</t>
  </si>
  <si>
    <t>sin sahi</t>
  </si>
  <si>
    <t>con sahi</t>
  </si>
  <si>
    <t>sin_sahi</t>
  </si>
  <si>
    <t>con_sahi</t>
  </si>
  <si>
    <t>l_0.28</t>
  </si>
  <si>
    <t>abs(Error)</t>
  </si>
  <si>
    <t>l_0.42</t>
  </si>
  <si>
    <t>Con sahi + balanc</t>
  </si>
  <si>
    <t>abs(error)</t>
  </si>
  <si>
    <t>mae</t>
  </si>
  <si>
    <t>smape</t>
  </si>
  <si>
    <t>Estimaciones balanceadas</t>
  </si>
  <si>
    <t>x_0.21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</si>
</sst>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0" fontId="0" fillId="0" borderId="0" xfId="1" applyNumberFormat="1" applyFon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340"/>
  <sheetViews>
    <sheetView workbookViewId="0">
      <selection activeCell="C186" sqref="A1:C186"/>
    </sheetView>
  </sheetViews>
  <sheetFormatPr baseColWidth="10" defaultColWidth="8.85546875" defaultRowHeight="15" x14ac:dyDescent="0.25"/>
  <cols>
    <col min="2" max="2" width="23.7109375" bestFit="1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hidden="1" x14ac:dyDescent="0.25">
      <c r="A2">
        <v>222</v>
      </c>
      <c r="B2" t="s">
        <v>3</v>
      </c>
      <c r="C2">
        <v>1</v>
      </c>
    </row>
    <row r="3" spans="1:3" hidden="1" x14ac:dyDescent="0.25">
      <c r="A3">
        <v>222</v>
      </c>
      <c r="B3" t="s">
        <v>4</v>
      </c>
      <c r="C3">
        <v>10</v>
      </c>
    </row>
    <row r="4" spans="1:3" hidden="1" x14ac:dyDescent="0.25">
      <c r="A4">
        <v>362</v>
      </c>
      <c r="B4" t="s">
        <v>4</v>
      </c>
      <c r="C4">
        <v>9</v>
      </c>
    </row>
    <row r="5" spans="1:3" hidden="1" x14ac:dyDescent="0.25">
      <c r="A5">
        <v>371</v>
      </c>
      <c r="B5" t="s">
        <v>4</v>
      </c>
      <c r="C5">
        <v>33</v>
      </c>
    </row>
    <row r="6" spans="1:3" hidden="1" x14ac:dyDescent="0.25">
      <c r="A6">
        <v>378</v>
      </c>
      <c r="B6" t="s">
        <v>4</v>
      </c>
      <c r="C6">
        <v>51</v>
      </c>
    </row>
    <row r="7" spans="1:3" hidden="1" x14ac:dyDescent="0.25">
      <c r="A7">
        <v>380</v>
      </c>
      <c r="B7" t="s">
        <v>3</v>
      </c>
      <c r="C7">
        <v>4</v>
      </c>
    </row>
    <row r="8" spans="1:3" hidden="1" x14ac:dyDescent="0.25">
      <c r="A8">
        <v>380</v>
      </c>
      <c r="B8" t="s">
        <v>4</v>
      </c>
      <c r="C8">
        <v>94</v>
      </c>
    </row>
    <row r="9" spans="1:3" hidden="1" x14ac:dyDescent="0.25">
      <c r="A9">
        <v>380</v>
      </c>
      <c r="B9" t="s">
        <v>5</v>
      </c>
      <c r="C9">
        <v>1</v>
      </c>
    </row>
    <row r="10" spans="1:3" hidden="1" x14ac:dyDescent="0.25">
      <c r="A10">
        <v>384</v>
      </c>
      <c r="B10" t="s">
        <v>3</v>
      </c>
      <c r="C10">
        <v>3</v>
      </c>
    </row>
    <row r="11" spans="1:3" hidden="1" x14ac:dyDescent="0.25">
      <c r="A11">
        <v>384</v>
      </c>
      <c r="B11" t="s">
        <v>4</v>
      </c>
      <c r="C11">
        <v>147</v>
      </c>
    </row>
    <row r="12" spans="1:3" hidden="1" x14ac:dyDescent="0.25">
      <c r="A12">
        <v>384</v>
      </c>
      <c r="B12" t="s">
        <v>6</v>
      </c>
      <c r="C12">
        <v>15</v>
      </c>
    </row>
    <row r="13" spans="1:3" hidden="1" x14ac:dyDescent="0.25">
      <c r="A13">
        <v>384</v>
      </c>
      <c r="B13" t="s">
        <v>7</v>
      </c>
      <c r="C13">
        <v>6</v>
      </c>
    </row>
    <row r="14" spans="1:3" hidden="1" x14ac:dyDescent="0.25">
      <c r="A14">
        <v>389</v>
      </c>
      <c r="B14" t="s">
        <v>3</v>
      </c>
      <c r="C14">
        <v>4</v>
      </c>
    </row>
    <row r="15" spans="1:3" hidden="1" x14ac:dyDescent="0.25">
      <c r="A15">
        <v>389</v>
      </c>
      <c r="B15" t="s">
        <v>4</v>
      </c>
      <c r="C15">
        <v>172</v>
      </c>
    </row>
    <row r="16" spans="1:3" hidden="1" x14ac:dyDescent="0.25">
      <c r="A16">
        <v>389</v>
      </c>
      <c r="B16" t="s">
        <v>8</v>
      </c>
      <c r="C16">
        <v>1</v>
      </c>
    </row>
    <row r="17" spans="1:3" hidden="1" x14ac:dyDescent="0.25">
      <c r="A17">
        <v>392</v>
      </c>
      <c r="B17" t="s">
        <v>3</v>
      </c>
      <c r="C17">
        <v>3</v>
      </c>
    </row>
    <row r="18" spans="1:3" hidden="1" x14ac:dyDescent="0.25">
      <c r="A18">
        <v>393</v>
      </c>
      <c r="B18" t="s">
        <v>3</v>
      </c>
      <c r="C18">
        <v>20</v>
      </c>
    </row>
    <row r="19" spans="1:3" hidden="1" x14ac:dyDescent="0.25">
      <c r="A19">
        <v>393</v>
      </c>
      <c r="B19" t="s">
        <v>4</v>
      </c>
      <c r="C19">
        <v>191</v>
      </c>
    </row>
    <row r="20" spans="1:3" hidden="1" x14ac:dyDescent="0.25">
      <c r="A20">
        <v>397</v>
      </c>
      <c r="B20" t="s">
        <v>3</v>
      </c>
      <c r="C20">
        <v>13</v>
      </c>
    </row>
    <row r="21" spans="1:3" hidden="1" x14ac:dyDescent="0.25">
      <c r="A21">
        <v>397</v>
      </c>
      <c r="B21" t="s">
        <v>9</v>
      </c>
      <c r="C21">
        <v>1</v>
      </c>
    </row>
    <row r="22" spans="1:3" hidden="1" x14ac:dyDescent="0.25">
      <c r="A22">
        <v>397</v>
      </c>
      <c r="B22" t="s">
        <v>4</v>
      </c>
      <c r="C22">
        <v>196</v>
      </c>
    </row>
    <row r="23" spans="1:3" hidden="1" x14ac:dyDescent="0.25">
      <c r="A23">
        <v>397</v>
      </c>
      <c r="B23" t="s">
        <v>6</v>
      </c>
      <c r="C23">
        <v>6</v>
      </c>
    </row>
    <row r="24" spans="1:3" hidden="1" x14ac:dyDescent="0.25">
      <c r="A24">
        <v>397</v>
      </c>
      <c r="B24" t="s">
        <v>7</v>
      </c>
      <c r="C24">
        <v>1</v>
      </c>
    </row>
    <row r="25" spans="1:3" hidden="1" x14ac:dyDescent="0.25">
      <c r="A25">
        <v>402</v>
      </c>
      <c r="B25" t="s">
        <v>3</v>
      </c>
      <c r="C25">
        <v>5</v>
      </c>
    </row>
    <row r="26" spans="1:3" hidden="1" x14ac:dyDescent="0.25">
      <c r="A26">
        <v>402</v>
      </c>
      <c r="B26" t="s">
        <v>9</v>
      </c>
      <c r="C26">
        <v>2</v>
      </c>
    </row>
    <row r="27" spans="1:3" hidden="1" x14ac:dyDescent="0.25">
      <c r="A27">
        <v>402</v>
      </c>
      <c r="B27" t="s">
        <v>4</v>
      </c>
      <c r="C27">
        <v>186</v>
      </c>
    </row>
    <row r="28" spans="1:3" hidden="1" x14ac:dyDescent="0.25">
      <c r="A28">
        <v>402</v>
      </c>
      <c r="B28" t="s">
        <v>6</v>
      </c>
      <c r="C28">
        <v>2</v>
      </c>
    </row>
    <row r="29" spans="1:3" hidden="1" x14ac:dyDescent="0.25">
      <c r="A29">
        <v>402</v>
      </c>
      <c r="B29" t="s">
        <v>10</v>
      </c>
      <c r="C29">
        <v>1</v>
      </c>
    </row>
    <row r="30" spans="1:3" hidden="1" x14ac:dyDescent="0.25">
      <c r="A30">
        <v>405</v>
      </c>
      <c r="B30" t="s">
        <v>3</v>
      </c>
      <c r="C30">
        <v>6</v>
      </c>
    </row>
    <row r="31" spans="1:3" hidden="1" x14ac:dyDescent="0.25">
      <c r="A31">
        <v>405</v>
      </c>
      <c r="B31" t="s">
        <v>4</v>
      </c>
      <c r="C31">
        <v>187</v>
      </c>
    </row>
    <row r="32" spans="1:3" hidden="1" x14ac:dyDescent="0.25">
      <c r="A32">
        <v>405</v>
      </c>
      <c r="B32" t="s">
        <v>6</v>
      </c>
      <c r="C32">
        <v>9</v>
      </c>
    </row>
    <row r="33" spans="1:3" hidden="1" x14ac:dyDescent="0.25">
      <c r="A33">
        <v>405</v>
      </c>
      <c r="B33" t="s">
        <v>7</v>
      </c>
      <c r="C33">
        <v>2</v>
      </c>
    </row>
    <row r="34" spans="1:3" hidden="1" x14ac:dyDescent="0.25">
      <c r="A34">
        <v>408</v>
      </c>
      <c r="B34" t="s">
        <v>3</v>
      </c>
      <c r="C34">
        <v>11</v>
      </c>
    </row>
    <row r="35" spans="1:3" hidden="1" x14ac:dyDescent="0.25">
      <c r="A35">
        <v>408</v>
      </c>
      <c r="B35" t="s">
        <v>4</v>
      </c>
      <c r="C35">
        <v>220</v>
      </c>
    </row>
    <row r="36" spans="1:3" hidden="1" x14ac:dyDescent="0.25">
      <c r="A36">
        <v>408</v>
      </c>
      <c r="B36" t="s">
        <v>6</v>
      </c>
      <c r="C36">
        <v>3</v>
      </c>
    </row>
    <row r="37" spans="1:3" hidden="1" x14ac:dyDescent="0.25">
      <c r="A37">
        <v>408</v>
      </c>
      <c r="B37" t="s">
        <v>10</v>
      </c>
      <c r="C37">
        <v>5</v>
      </c>
    </row>
    <row r="38" spans="1:3" hidden="1" x14ac:dyDescent="0.25">
      <c r="A38">
        <v>411</v>
      </c>
      <c r="B38" t="s">
        <v>3</v>
      </c>
      <c r="C38">
        <v>19</v>
      </c>
    </row>
    <row r="39" spans="1:3" hidden="1" x14ac:dyDescent="0.25">
      <c r="A39">
        <v>411</v>
      </c>
      <c r="B39" t="s">
        <v>4</v>
      </c>
      <c r="C39">
        <v>194</v>
      </c>
    </row>
    <row r="40" spans="1:3" hidden="1" x14ac:dyDescent="0.25">
      <c r="A40">
        <v>416</v>
      </c>
      <c r="B40" t="s">
        <v>3</v>
      </c>
      <c r="C40">
        <v>6</v>
      </c>
    </row>
    <row r="41" spans="1:3" hidden="1" x14ac:dyDescent="0.25">
      <c r="A41">
        <v>416</v>
      </c>
      <c r="B41" t="s">
        <v>4</v>
      </c>
      <c r="C41">
        <v>223</v>
      </c>
    </row>
    <row r="42" spans="1:3" hidden="1" x14ac:dyDescent="0.25">
      <c r="A42">
        <v>416</v>
      </c>
      <c r="B42" t="s">
        <v>6</v>
      </c>
      <c r="C42">
        <v>3</v>
      </c>
    </row>
    <row r="43" spans="1:3" hidden="1" x14ac:dyDescent="0.25">
      <c r="A43">
        <v>416</v>
      </c>
      <c r="B43" t="s">
        <v>11</v>
      </c>
      <c r="C43">
        <v>1</v>
      </c>
    </row>
    <row r="44" spans="1:3" hidden="1" x14ac:dyDescent="0.25">
      <c r="A44">
        <v>419</v>
      </c>
      <c r="B44" t="s">
        <v>3</v>
      </c>
      <c r="C44">
        <v>10</v>
      </c>
    </row>
    <row r="45" spans="1:3" hidden="1" x14ac:dyDescent="0.25">
      <c r="A45">
        <v>419</v>
      </c>
      <c r="B45" t="s">
        <v>4</v>
      </c>
      <c r="C45">
        <v>171</v>
      </c>
    </row>
    <row r="46" spans="1:3" hidden="1" x14ac:dyDescent="0.25">
      <c r="A46">
        <v>419</v>
      </c>
      <c r="B46" t="s">
        <v>6</v>
      </c>
      <c r="C46">
        <v>13</v>
      </c>
    </row>
    <row r="47" spans="1:3" hidden="1" x14ac:dyDescent="0.25">
      <c r="A47">
        <v>419</v>
      </c>
      <c r="B47" t="s">
        <v>7</v>
      </c>
      <c r="C47">
        <v>1</v>
      </c>
    </row>
    <row r="48" spans="1:3" hidden="1" x14ac:dyDescent="0.25">
      <c r="A48">
        <v>422</v>
      </c>
      <c r="B48" t="s">
        <v>3</v>
      </c>
      <c r="C48">
        <v>10</v>
      </c>
    </row>
    <row r="49" spans="1:3" hidden="1" x14ac:dyDescent="0.25">
      <c r="A49">
        <v>422</v>
      </c>
      <c r="B49" t="s">
        <v>4</v>
      </c>
      <c r="C49">
        <v>171</v>
      </c>
    </row>
    <row r="50" spans="1:3" hidden="1" x14ac:dyDescent="0.25">
      <c r="A50">
        <v>425</v>
      </c>
      <c r="B50" t="s">
        <v>3</v>
      </c>
      <c r="C50">
        <v>7</v>
      </c>
    </row>
    <row r="51" spans="1:3" hidden="1" x14ac:dyDescent="0.25">
      <c r="A51">
        <v>425</v>
      </c>
      <c r="B51" t="s">
        <v>9</v>
      </c>
      <c r="C51">
        <v>1</v>
      </c>
    </row>
    <row r="52" spans="1:3" hidden="1" x14ac:dyDescent="0.25">
      <c r="A52">
        <v>425</v>
      </c>
      <c r="B52" t="s">
        <v>4</v>
      </c>
      <c r="C52">
        <v>168</v>
      </c>
    </row>
    <row r="53" spans="1:3" hidden="1" x14ac:dyDescent="0.25">
      <c r="A53">
        <v>425</v>
      </c>
      <c r="B53" t="s">
        <v>6</v>
      </c>
      <c r="C53">
        <v>1</v>
      </c>
    </row>
    <row r="54" spans="1:3" hidden="1" x14ac:dyDescent="0.25">
      <c r="A54">
        <v>425</v>
      </c>
      <c r="B54" t="s">
        <v>10</v>
      </c>
      <c r="C54">
        <v>1</v>
      </c>
    </row>
    <row r="55" spans="1:3" hidden="1" x14ac:dyDescent="0.25">
      <c r="A55">
        <v>428</v>
      </c>
      <c r="B55" t="s">
        <v>3</v>
      </c>
      <c r="C55">
        <v>3</v>
      </c>
    </row>
    <row r="56" spans="1:3" hidden="1" x14ac:dyDescent="0.25">
      <c r="A56">
        <v>428</v>
      </c>
      <c r="B56" t="s">
        <v>4</v>
      </c>
      <c r="C56">
        <v>149</v>
      </c>
    </row>
    <row r="57" spans="1:3" hidden="1" x14ac:dyDescent="0.25">
      <c r="A57">
        <v>428</v>
      </c>
      <c r="B57" t="s">
        <v>6</v>
      </c>
      <c r="C57">
        <v>9</v>
      </c>
    </row>
    <row r="58" spans="1:3" hidden="1" x14ac:dyDescent="0.25">
      <c r="A58">
        <v>428</v>
      </c>
      <c r="B58" t="s">
        <v>7</v>
      </c>
      <c r="C58">
        <v>2</v>
      </c>
    </row>
    <row r="59" spans="1:3" hidden="1" x14ac:dyDescent="0.25">
      <c r="A59">
        <v>431</v>
      </c>
      <c r="B59" t="s">
        <v>3</v>
      </c>
      <c r="C59">
        <v>10</v>
      </c>
    </row>
    <row r="60" spans="1:3" hidden="1" x14ac:dyDescent="0.25">
      <c r="A60">
        <v>431</v>
      </c>
      <c r="B60" t="s">
        <v>4</v>
      </c>
      <c r="C60">
        <v>124</v>
      </c>
    </row>
    <row r="61" spans="1:3" hidden="1" x14ac:dyDescent="0.25">
      <c r="A61">
        <v>431</v>
      </c>
      <c r="B61" t="s">
        <v>6</v>
      </c>
      <c r="C61">
        <v>3</v>
      </c>
    </row>
    <row r="62" spans="1:3" hidden="1" x14ac:dyDescent="0.25">
      <c r="A62">
        <v>431</v>
      </c>
      <c r="B62" t="s">
        <v>7</v>
      </c>
      <c r="C62">
        <v>1</v>
      </c>
    </row>
    <row r="63" spans="1:3" hidden="1" x14ac:dyDescent="0.25">
      <c r="A63">
        <v>433</v>
      </c>
      <c r="B63" t="s">
        <v>3</v>
      </c>
      <c r="C63">
        <v>8</v>
      </c>
    </row>
    <row r="64" spans="1:3" hidden="1" x14ac:dyDescent="0.25">
      <c r="A64">
        <v>433</v>
      </c>
      <c r="B64" t="s">
        <v>9</v>
      </c>
      <c r="C64">
        <v>1</v>
      </c>
    </row>
    <row r="65" spans="1:3" hidden="1" x14ac:dyDescent="0.25">
      <c r="A65">
        <v>433</v>
      </c>
      <c r="B65" t="s">
        <v>4</v>
      </c>
      <c r="C65">
        <v>177</v>
      </c>
    </row>
    <row r="66" spans="1:3" hidden="1" x14ac:dyDescent="0.25">
      <c r="A66">
        <v>433</v>
      </c>
      <c r="B66" t="s">
        <v>6</v>
      </c>
      <c r="C66">
        <v>1</v>
      </c>
    </row>
    <row r="67" spans="1:3" hidden="1" x14ac:dyDescent="0.25">
      <c r="A67">
        <v>436</v>
      </c>
      <c r="B67" t="s">
        <v>12</v>
      </c>
      <c r="C67">
        <v>1</v>
      </c>
    </row>
    <row r="68" spans="1:3" hidden="1" x14ac:dyDescent="0.25">
      <c r="A68">
        <v>436</v>
      </c>
      <c r="B68" t="s">
        <v>3</v>
      </c>
      <c r="C68">
        <v>10</v>
      </c>
    </row>
    <row r="69" spans="1:3" hidden="1" x14ac:dyDescent="0.25">
      <c r="A69">
        <v>436</v>
      </c>
      <c r="B69" t="s">
        <v>4</v>
      </c>
      <c r="C69">
        <v>230</v>
      </c>
    </row>
    <row r="70" spans="1:3" hidden="1" x14ac:dyDescent="0.25">
      <c r="A70">
        <v>436</v>
      </c>
      <c r="B70" t="s">
        <v>8</v>
      </c>
      <c r="C70">
        <v>2</v>
      </c>
    </row>
    <row r="71" spans="1:3" hidden="1" x14ac:dyDescent="0.25">
      <c r="A71">
        <v>436</v>
      </c>
      <c r="B71" t="s">
        <v>6</v>
      </c>
      <c r="C71">
        <v>10</v>
      </c>
    </row>
    <row r="72" spans="1:3" hidden="1" x14ac:dyDescent="0.25">
      <c r="A72">
        <v>436</v>
      </c>
      <c r="B72" t="s">
        <v>7</v>
      </c>
      <c r="C72">
        <v>13</v>
      </c>
    </row>
    <row r="73" spans="1:3" hidden="1" x14ac:dyDescent="0.25">
      <c r="A73">
        <v>440</v>
      </c>
      <c r="B73" t="s">
        <v>3</v>
      </c>
      <c r="C73">
        <v>16</v>
      </c>
    </row>
    <row r="74" spans="1:3" hidden="1" x14ac:dyDescent="0.25">
      <c r="A74">
        <v>440</v>
      </c>
      <c r="B74" t="s">
        <v>9</v>
      </c>
      <c r="C74">
        <v>1</v>
      </c>
    </row>
    <row r="75" spans="1:3" hidden="1" x14ac:dyDescent="0.25">
      <c r="A75">
        <v>440</v>
      </c>
      <c r="B75" t="s">
        <v>4</v>
      </c>
      <c r="C75">
        <v>211</v>
      </c>
    </row>
    <row r="76" spans="1:3" x14ac:dyDescent="0.25">
      <c r="A76">
        <v>440</v>
      </c>
      <c r="B76" t="s">
        <v>13</v>
      </c>
      <c r="C76">
        <v>1</v>
      </c>
    </row>
    <row r="77" spans="1:3" hidden="1" x14ac:dyDescent="0.25">
      <c r="A77">
        <v>440</v>
      </c>
      <c r="B77" t="s">
        <v>10</v>
      </c>
      <c r="C77">
        <v>1</v>
      </c>
    </row>
    <row r="78" spans="1:3" hidden="1" x14ac:dyDescent="0.25">
      <c r="A78">
        <v>443</v>
      </c>
      <c r="B78" t="s">
        <v>3</v>
      </c>
      <c r="C78">
        <v>6</v>
      </c>
    </row>
    <row r="79" spans="1:3" hidden="1" x14ac:dyDescent="0.25">
      <c r="A79">
        <v>443</v>
      </c>
      <c r="B79" t="s">
        <v>4</v>
      </c>
      <c r="C79">
        <v>164</v>
      </c>
    </row>
    <row r="80" spans="1:3" hidden="1" x14ac:dyDescent="0.25">
      <c r="A80">
        <v>443</v>
      </c>
      <c r="B80" t="s">
        <v>6</v>
      </c>
      <c r="C80">
        <v>10</v>
      </c>
    </row>
    <row r="81" spans="1:3" hidden="1" x14ac:dyDescent="0.25">
      <c r="A81">
        <v>443</v>
      </c>
      <c r="B81" t="s">
        <v>7</v>
      </c>
      <c r="C81">
        <v>6</v>
      </c>
    </row>
    <row r="82" spans="1:3" hidden="1" x14ac:dyDescent="0.25">
      <c r="A82">
        <v>446</v>
      </c>
      <c r="B82" t="s">
        <v>3</v>
      </c>
      <c r="C82">
        <v>3</v>
      </c>
    </row>
    <row r="83" spans="1:3" hidden="1" x14ac:dyDescent="0.25">
      <c r="A83">
        <v>446</v>
      </c>
      <c r="B83" t="s">
        <v>4</v>
      </c>
      <c r="C83">
        <v>221</v>
      </c>
    </row>
    <row r="84" spans="1:3" hidden="1" x14ac:dyDescent="0.25">
      <c r="A84">
        <v>446</v>
      </c>
      <c r="B84" t="s">
        <v>6</v>
      </c>
      <c r="C84">
        <v>2</v>
      </c>
    </row>
    <row r="85" spans="1:3" hidden="1" x14ac:dyDescent="0.25">
      <c r="A85">
        <v>446</v>
      </c>
      <c r="B85" t="s">
        <v>7</v>
      </c>
      <c r="C85">
        <v>2</v>
      </c>
    </row>
    <row r="86" spans="1:3" hidden="1" x14ac:dyDescent="0.25">
      <c r="A86">
        <v>446</v>
      </c>
      <c r="B86" t="s">
        <v>10</v>
      </c>
      <c r="C86">
        <v>4</v>
      </c>
    </row>
    <row r="87" spans="1:3" hidden="1" x14ac:dyDescent="0.25">
      <c r="A87">
        <v>450</v>
      </c>
      <c r="B87" t="s">
        <v>3</v>
      </c>
      <c r="C87">
        <v>11</v>
      </c>
    </row>
    <row r="88" spans="1:3" hidden="1" x14ac:dyDescent="0.25">
      <c r="A88">
        <v>450</v>
      </c>
      <c r="B88" t="s">
        <v>4</v>
      </c>
      <c r="C88">
        <v>187</v>
      </c>
    </row>
    <row r="89" spans="1:3" hidden="1" x14ac:dyDescent="0.25">
      <c r="A89">
        <v>450</v>
      </c>
      <c r="B89" t="s">
        <v>6</v>
      </c>
      <c r="C89">
        <v>10</v>
      </c>
    </row>
    <row r="90" spans="1:3" hidden="1" x14ac:dyDescent="0.25">
      <c r="A90">
        <v>450</v>
      </c>
      <c r="B90" t="s">
        <v>7</v>
      </c>
      <c r="C90">
        <v>2</v>
      </c>
    </row>
    <row r="91" spans="1:3" x14ac:dyDescent="0.25">
      <c r="A91">
        <v>450</v>
      </c>
      <c r="B91" t="s">
        <v>13</v>
      </c>
      <c r="C91">
        <v>3</v>
      </c>
    </row>
    <row r="92" spans="1:3" hidden="1" x14ac:dyDescent="0.25">
      <c r="A92">
        <v>450</v>
      </c>
      <c r="B92" t="s">
        <v>10</v>
      </c>
      <c r="C92">
        <v>2</v>
      </c>
    </row>
    <row r="93" spans="1:3" hidden="1" x14ac:dyDescent="0.25">
      <c r="A93">
        <v>453</v>
      </c>
      <c r="B93" t="s">
        <v>3</v>
      </c>
      <c r="C93">
        <v>1</v>
      </c>
    </row>
    <row r="94" spans="1:3" hidden="1" x14ac:dyDescent="0.25">
      <c r="A94">
        <v>453</v>
      </c>
      <c r="B94" t="s">
        <v>4</v>
      </c>
      <c r="C94">
        <v>94</v>
      </c>
    </row>
    <row r="95" spans="1:3" hidden="1" x14ac:dyDescent="0.25">
      <c r="A95">
        <v>453</v>
      </c>
      <c r="B95" t="s">
        <v>6</v>
      </c>
      <c r="C95">
        <v>8</v>
      </c>
    </row>
    <row r="96" spans="1:3" hidden="1" x14ac:dyDescent="0.25">
      <c r="A96">
        <v>453</v>
      </c>
      <c r="B96" t="s">
        <v>10</v>
      </c>
      <c r="C96">
        <v>3</v>
      </c>
    </row>
    <row r="97" spans="1:3" hidden="1" x14ac:dyDescent="0.25">
      <c r="A97">
        <v>455</v>
      </c>
      <c r="B97" t="s">
        <v>14</v>
      </c>
      <c r="C97">
        <v>1</v>
      </c>
    </row>
    <row r="98" spans="1:3" hidden="1" x14ac:dyDescent="0.25">
      <c r="A98">
        <v>455</v>
      </c>
      <c r="B98" t="s">
        <v>3</v>
      </c>
      <c r="C98">
        <v>9</v>
      </c>
    </row>
    <row r="99" spans="1:3" hidden="1" x14ac:dyDescent="0.25">
      <c r="A99">
        <v>455</v>
      </c>
      <c r="B99" t="s">
        <v>4</v>
      </c>
      <c r="C99">
        <v>234</v>
      </c>
    </row>
    <row r="100" spans="1:3" hidden="1" x14ac:dyDescent="0.25">
      <c r="A100">
        <v>455</v>
      </c>
      <c r="B100" t="s">
        <v>6</v>
      </c>
      <c r="C100">
        <v>10</v>
      </c>
    </row>
    <row r="101" spans="1:3" hidden="1" x14ac:dyDescent="0.25">
      <c r="A101">
        <v>455</v>
      </c>
      <c r="B101" t="s">
        <v>7</v>
      </c>
      <c r="C101">
        <v>3</v>
      </c>
    </row>
    <row r="102" spans="1:3" hidden="1" x14ac:dyDescent="0.25">
      <c r="A102">
        <v>455</v>
      </c>
      <c r="B102" t="s">
        <v>10</v>
      </c>
      <c r="C102">
        <v>1</v>
      </c>
    </row>
    <row r="103" spans="1:3" hidden="1" x14ac:dyDescent="0.25">
      <c r="A103">
        <v>458</v>
      </c>
      <c r="B103" t="s">
        <v>3</v>
      </c>
      <c r="C103">
        <v>7</v>
      </c>
    </row>
    <row r="104" spans="1:3" hidden="1" x14ac:dyDescent="0.25">
      <c r="A104">
        <v>458</v>
      </c>
      <c r="B104" t="s">
        <v>4</v>
      </c>
      <c r="C104">
        <v>234</v>
      </c>
    </row>
    <row r="105" spans="1:3" hidden="1" x14ac:dyDescent="0.25">
      <c r="A105">
        <v>458</v>
      </c>
      <c r="B105" t="s">
        <v>6</v>
      </c>
      <c r="C105">
        <v>3</v>
      </c>
    </row>
    <row r="106" spans="1:3" x14ac:dyDescent="0.25">
      <c r="A106">
        <v>458</v>
      </c>
      <c r="B106" t="s">
        <v>13</v>
      </c>
      <c r="C106">
        <v>2</v>
      </c>
    </row>
    <row r="107" spans="1:3" hidden="1" x14ac:dyDescent="0.25">
      <c r="A107">
        <v>458</v>
      </c>
      <c r="B107" t="s">
        <v>10</v>
      </c>
      <c r="C107">
        <v>4</v>
      </c>
    </row>
    <row r="108" spans="1:3" hidden="1" x14ac:dyDescent="0.25">
      <c r="A108">
        <v>461</v>
      </c>
      <c r="B108" t="s">
        <v>3</v>
      </c>
      <c r="C108">
        <v>16</v>
      </c>
    </row>
    <row r="109" spans="1:3" hidden="1" x14ac:dyDescent="0.25">
      <c r="A109">
        <v>461</v>
      </c>
      <c r="B109" t="s">
        <v>4</v>
      </c>
      <c r="C109">
        <v>203</v>
      </c>
    </row>
    <row r="110" spans="1:3" hidden="1" x14ac:dyDescent="0.25">
      <c r="A110">
        <v>461</v>
      </c>
      <c r="B110" t="s">
        <v>7</v>
      </c>
      <c r="C110">
        <v>2</v>
      </c>
    </row>
    <row r="111" spans="1:3" hidden="1" x14ac:dyDescent="0.25">
      <c r="A111">
        <v>461</v>
      </c>
      <c r="B111" t="s">
        <v>10</v>
      </c>
      <c r="C111">
        <v>1</v>
      </c>
    </row>
    <row r="112" spans="1:3" hidden="1" x14ac:dyDescent="0.25">
      <c r="A112">
        <v>466</v>
      </c>
      <c r="B112" t="s">
        <v>3</v>
      </c>
      <c r="C112">
        <v>7</v>
      </c>
    </row>
    <row r="113" spans="1:3" hidden="1" x14ac:dyDescent="0.25">
      <c r="A113">
        <v>466</v>
      </c>
      <c r="B113" t="s">
        <v>9</v>
      </c>
      <c r="C113">
        <v>1</v>
      </c>
    </row>
    <row r="114" spans="1:3" hidden="1" x14ac:dyDescent="0.25">
      <c r="A114">
        <v>466</v>
      </c>
      <c r="B114" t="s">
        <v>4</v>
      </c>
      <c r="C114">
        <v>255</v>
      </c>
    </row>
    <row r="115" spans="1:3" hidden="1" x14ac:dyDescent="0.25">
      <c r="A115">
        <v>466</v>
      </c>
      <c r="B115" t="s">
        <v>5</v>
      </c>
      <c r="C115">
        <v>1</v>
      </c>
    </row>
    <row r="116" spans="1:3" hidden="1" x14ac:dyDescent="0.25">
      <c r="A116">
        <v>466</v>
      </c>
      <c r="B116" t="s">
        <v>6</v>
      </c>
      <c r="C116">
        <v>16</v>
      </c>
    </row>
    <row r="117" spans="1:3" hidden="1" x14ac:dyDescent="0.25">
      <c r="A117">
        <v>466</v>
      </c>
      <c r="B117" t="s">
        <v>7</v>
      </c>
      <c r="C117">
        <v>1</v>
      </c>
    </row>
    <row r="118" spans="1:3" hidden="1" x14ac:dyDescent="0.25">
      <c r="A118">
        <v>466</v>
      </c>
      <c r="B118" t="s">
        <v>10</v>
      </c>
      <c r="C118">
        <v>5</v>
      </c>
    </row>
    <row r="119" spans="1:3" hidden="1" x14ac:dyDescent="0.25">
      <c r="A119">
        <v>470</v>
      </c>
      <c r="B119" t="s">
        <v>3</v>
      </c>
      <c r="C119">
        <v>8</v>
      </c>
    </row>
    <row r="120" spans="1:3" hidden="1" x14ac:dyDescent="0.25">
      <c r="A120">
        <v>470</v>
      </c>
      <c r="B120" t="s">
        <v>4</v>
      </c>
      <c r="C120">
        <v>263</v>
      </c>
    </row>
    <row r="121" spans="1:3" hidden="1" x14ac:dyDescent="0.25">
      <c r="A121">
        <v>470</v>
      </c>
      <c r="B121" t="s">
        <v>6</v>
      </c>
      <c r="C121">
        <v>1</v>
      </c>
    </row>
    <row r="122" spans="1:3" hidden="1" x14ac:dyDescent="0.25">
      <c r="A122">
        <v>470</v>
      </c>
      <c r="B122" t="s">
        <v>7</v>
      </c>
      <c r="C122">
        <v>1</v>
      </c>
    </row>
    <row r="123" spans="1:3" x14ac:dyDescent="0.25">
      <c r="A123">
        <v>470</v>
      </c>
      <c r="B123" t="s">
        <v>13</v>
      </c>
      <c r="C123">
        <v>1</v>
      </c>
    </row>
    <row r="124" spans="1:3" hidden="1" x14ac:dyDescent="0.25">
      <c r="A124">
        <v>470</v>
      </c>
      <c r="B124" t="s">
        <v>10</v>
      </c>
      <c r="C124">
        <v>5</v>
      </c>
    </row>
    <row r="125" spans="1:3" hidden="1" x14ac:dyDescent="0.25">
      <c r="A125">
        <v>473</v>
      </c>
      <c r="B125" t="s">
        <v>4</v>
      </c>
      <c r="C125">
        <v>167</v>
      </c>
    </row>
    <row r="126" spans="1:3" hidden="1" x14ac:dyDescent="0.25">
      <c r="A126">
        <v>473</v>
      </c>
      <c r="B126" t="s">
        <v>6</v>
      </c>
      <c r="C126">
        <v>1</v>
      </c>
    </row>
    <row r="127" spans="1:3" x14ac:dyDescent="0.25">
      <c r="A127">
        <v>473</v>
      </c>
      <c r="B127" t="s">
        <v>13</v>
      </c>
      <c r="C127">
        <v>2</v>
      </c>
    </row>
    <row r="128" spans="1:3" hidden="1" x14ac:dyDescent="0.25">
      <c r="A128">
        <v>473</v>
      </c>
      <c r="B128" t="s">
        <v>10</v>
      </c>
      <c r="C128">
        <v>4</v>
      </c>
    </row>
    <row r="129" spans="1:3" hidden="1" x14ac:dyDescent="0.25">
      <c r="A129">
        <v>475</v>
      </c>
      <c r="B129" t="s">
        <v>3</v>
      </c>
      <c r="C129">
        <v>7</v>
      </c>
    </row>
    <row r="130" spans="1:3" hidden="1" x14ac:dyDescent="0.25">
      <c r="A130">
        <v>475</v>
      </c>
      <c r="B130" t="s">
        <v>4</v>
      </c>
      <c r="C130">
        <v>263</v>
      </c>
    </row>
    <row r="131" spans="1:3" hidden="1" x14ac:dyDescent="0.25">
      <c r="A131">
        <v>475</v>
      </c>
      <c r="B131" t="s">
        <v>6</v>
      </c>
      <c r="C131">
        <v>1</v>
      </c>
    </row>
    <row r="132" spans="1:3" hidden="1" x14ac:dyDescent="0.25">
      <c r="A132">
        <v>475</v>
      </c>
      <c r="B132" t="s">
        <v>10</v>
      </c>
      <c r="C132">
        <v>1</v>
      </c>
    </row>
    <row r="133" spans="1:3" hidden="1" x14ac:dyDescent="0.25">
      <c r="A133">
        <v>475</v>
      </c>
      <c r="B133" t="s">
        <v>15</v>
      </c>
      <c r="C133">
        <v>1</v>
      </c>
    </row>
    <row r="134" spans="1:3" hidden="1" x14ac:dyDescent="0.25">
      <c r="A134">
        <v>478</v>
      </c>
      <c r="B134" t="s">
        <v>3</v>
      </c>
      <c r="C134">
        <v>6</v>
      </c>
    </row>
    <row r="135" spans="1:3" hidden="1" x14ac:dyDescent="0.25">
      <c r="A135">
        <v>478</v>
      </c>
      <c r="B135" t="s">
        <v>4</v>
      </c>
      <c r="C135">
        <v>189</v>
      </c>
    </row>
    <row r="136" spans="1:3" hidden="1" x14ac:dyDescent="0.25">
      <c r="A136">
        <v>478</v>
      </c>
      <c r="B136" t="s">
        <v>6</v>
      </c>
      <c r="C136">
        <v>15</v>
      </c>
    </row>
    <row r="137" spans="1:3" hidden="1" x14ac:dyDescent="0.25">
      <c r="A137">
        <v>478</v>
      </c>
      <c r="B137" t="s">
        <v>7</v>
      </c>
      <c r="C137">
        <v>1</v>
      </c>
    </row>
    <row r="138" spans="1:3" hidden="1" x14ac:dyDescent="0.25">
      <c r="A138">
        <v>478</v>
      </c>
      <c r="B138" t="s">
        <v>10</v>
      </c>
      <c r="C138">
        <v>2</v>
      </c>
    </row>
    <row r="139" spans="1:3" hidden="1" x14ac:dyDescent="0.25">
      <c r="A139">
        <v>481</v>
      </c>
      <c r="B139" t="s">
        <v>3</v>
      </c>
      <c r="C139">
        <v>17</v>
      </c>
    </row>
    <row r="140" spans="1:3" hidden="1" x14ac:dyDescent="0.25">
      <c r="A140">
        <v>481</v>
      </c>
      <c r="B140" t="s">
        <v>4</v>
      </c>
      <c r="C140">
        <v>169</v>
      </c>
    </row>
    <row r="141" spans="1:3" hidden="1" x14ac:dyDescent="0.25">
      <c r="A141">
        <v>481</v>
      </c>
      <c r="B141" t="s">
        <v>6</v>
      </c>
      <c r="C141">
        <v>2</v>
      </c>
    </row>
    <row r="142" spans="1:3" hidden="1" x14ac:dyDescent="0.25">
      <c r="A142">
        <v>481</v>
      </c>
      <c r="B142" t="s">
        <v>10</v>
      </c>
      <c r="C142">
        <v>1</v>
      </c>
    </row>
    <row r="143" spans="1:3" hidden="1" x14ac:dyDescent="0.25">
      <c r="A143">
        <v>484</v>
      </c>
      <c r="B143" t="s">
        <v>3</v>
      </c>
      <c r="C143">
        <v>4</v>
      </c>
    </row>
    <row r="144" spans="1:3" hidden="1" x14ac:dyDescent="0.25">
      <c r="A144">
        <v>484</v>
      </c>
      <c r="B144" t="s">
        <v>4</v>
      </c>
      <c r="C144">
        <v>181</v>
      </c>
    </row>
    <row r="145" spans="1:3" hidden="1" x14ac:dyDescent="0.25">
      <c r="A145">
        <v>484</v>
      </c>
      <c r="B145" t="s">
        <v>6</v>
      </c>
      <c r="C145">
        <v>47</v>
      </c>
    </row>
    <row r="146" spans="1:3" hidden="1" x14ac:dyDescent="0.25">
      <c r="A146">
        <v>484</v>
      </c>
      <c r="B146" t="s">
        <v>7</v>
      </c>
      <c r="C146">
        <v>6</v>
      </c>
    </row>
    <row r="147" spans="1:3" hidden="1" x14ac:dyDescent="0.25">
      <c r="A147">
        <v>487</v>
      </c>
      <c r="B147" t="s">
        <v>3</v>
      </c>
      <c r="C147">
        <v>10</v>
      </c>
    </row>
    <row r="148" spans="1:3" hidden="1" x14ac:dyDescent="0.25">
      <c r="A148">
        <v>487</v>
      </c>
      <c r="B148" t="s">
        <v>4</v>
      </c>
      <c r="C148">
        <v>200</v>
      </c>
    </row>
    <row r="149" spans="1:3" hidden="1" x14ac:dyDescent="0.25">
      <c r="A149">
        <v>487</v>
      </c>
      <c r="B149" t="s">
        <v>6</v>
      </c>
      <c r="C149">
        <v>9</v>
      </c>
    </row>
    <row r="150" spans="1:3" hidden="1" x14ac:dyDescent="0.25">
      <c r="A150">
        <v>487</v>
      </c>
      <c r="B150" t="s">
        <v>7</v>
      </c>
      <c r="C150">
        <v>2</v>
      </c>
    </row>
    <row r="151" spans="1:3" hidden="1" x14ac:dyDescent="0.25">
      <c r="A151">
        <v>487</v>
      </c>
      <c r="B151" t="s">
        <v>10</v>
      </c>
      <c r="C151">
        <v>1</v>
      </c>
    </row>
    <row r="152" spans="1:3" hidden="1" x14ac:dyDescent="0.25">
      <c r="A152">
        <v>490</v>
      </c>
      <c r="B152" t="s">
        <v>3</v>
      </c>
      <c r="C152">
        <v>13</v>
      </c>
    </row>
    <row r="153" spans="1:3" hidden="1" x14ac:dyDescent="0.25">
      <c r="A153">
        <v>490</v>
      </c>
      <c r="B153" t="s">
        <v>4</v>
      </c>
      <c r="C153">
        <v>165</v>
      </c>
    </row>
    <row r="154" spans="1:3" hidden="1" x14ac:dyDescent="0.25">
      <c r="A154">
        <v>490</v>
      </c>
      <c r="B154" t="s">
        <v>6</v>
      </c>
      <c r="C154">
        <v>2</v>
      </c>
    </row>
    <row r="155" spans="1:3" x14ac:dyDescent="0.25">
      <c r="A155">
        <v>490</v>
      </c>
      <c r="B155" t="s">
        <v>13</v>
      </c>
      <c r="C155">
        <v>3</v>
      </c>
    </row>
    <row r="156" spans="1:3" hidden="1" x14ac:dyDescent="0.25">
      <c r="A156">
        <v>490</v>
      </c>
      <c r="B156" t="s">
        <v>10</v>
      </c>
      <c r="C156">
        <v>6</v>
      </c>
    </row>
    <row r="157" spans="1:3" hidden="1" x14ac:dyDescent="0.25">
      <c r="A157">
        <v>495</v>
      </c>
      <c r="B157" t="s">
        <v>3</v>
      </c>
      <c r="C157">
        <v>6</v>
      </c>
    </row>
    <row r="158" spans="1:3" hidden="1" x14ac:dyDescent="0.25">
      <c r="A158">
        <v>495</v>
      </c>
      <c r="B158" t="s">
        <v>4</v>
      </c>
      <c r="C158">
        <v>171</v>
      </c>
    </row>
    <row r="159" spans="1:3" hidden="1" x14ac:dyDescent="0.25">
      <c r="A159">
        <v>495</v>
      </c>
      <c r="B159" t="s">
        <v>6</v>
      </c>
      <c r="C159">
        <v>18</v>
      </c>
    </row>
    <row r="160" spans="1:3" hidden="1" x14ac:dyDescent="0.25">
      <c r="A160">
        <v>495</v>
      </c>
      <c r="B160" t="s">
        <v>7</v>
      </c>
      <c r="C160">
        <v>2</v>
      </c>
    </row>
    <row r="161" spans="1:3" x14ac:dyDescent="0.25">
      <c r="A161">
        <v>495</v>
      </c>
      <c r="B161" t="s">
        <v>13</v>
      </c>
      <c r="C161">
        <v>1</v>
      </c>
    </row>
    <row r="162" spans="1:3" hidden="1" x14ac:dyDescent="0.25">
      <c r="A162">
        <v>495</v>
      </c>
      <c r="B162" t="s">
        <v>10</v>
      </c>
      <c r="C162">
        <v>3</v>
      </c>
    </row>
    <row r="163" spans="1:3" hidden="1" x14ac:dyDescent="0.25">
      <c r="A163">
        <v>499</v>
      </c>
      <c r="B163" t="s">
        <v>3</v>
      </c>
      <c r="C163">
        <v>6</v>
      </c>
    </row>
    <row r="164" spans="1:3" hidden="1" x14ac:dyDescent="0.25">
      <c r="A164">
        <v>499</v>
      </c>
      <c r="B164" t="s">
        <v>4</v>
      </c>
      <c r="C164">
        <v>197</v>
      </c>
    </row>
    <row r="165" spans="1:3" hidden="1" x14ac:dyDescent="0.25">
      <c r="A165">
        <v>499</v>
      </c>
      <c r="B165" t="s">
        <v>6</v>
      </c>
      <c r="C165">
        <v>9</v>
      </c>
    </row>
    <row r="166" spans="1:3" hidden="1" x14ac:dyDescent="0.25">
      <c r="A166">
        <v>499</v>
      </c>
      <c r="B166" t="s">
        <v>7</v>
      </c>
      <c r="C166">
        <v>1</v>
      </c>
    </row>
    <row r="167" spans="1:3" x14ac:dyDescent="0.25">
      <c r="A167">
        <v>499</v>
      </c>
      <c r="B167" t="s">
        <v>13</v>
      </c>
      <c r="C167">
        <v>1</v>
      </c>
    </row>
    <row r="168" spans="1:3" hidden="1" x14ac:dyDescent="0.25">
      <c r="A168">
        <v>499</v>
      </c>
      <c r="B168" t="s">
        <v>10</v>
      </c>
      <c r="C168">
        <v>5</v>
      </c>
    </row>
    <row r="169" spans="1:3" hidden="1" x14ac:dyDescent="0.25">
      <c r="A169">
        <v>503</v>
      </c>
      <c r="B169" t="s">
        <v>3</v>
      </c>
      <c r="C169">
        <v>4</v>
      </c>
    </row>
    <row r="170" spans="1:3" hidden="1" x14ac:dyDescent="0.25">
      <c r="A170">
        <v>503</v>
      </c>
      <c r="B170" t="s">
        <v>4</v>
      </c>
      <c r="C170">
        <v>172</v>
      </c>
    </row>
    <row r="171" spans="1:3" hidden="1" x14ac:dyDescent="0.25">
      <c r="A171">
        <v>503</v>
      </c>
      <c r="B171" t="s">
        <v>10</v>
      </c>
      <c r="C171">
        <v>11</v>
      </c>
    </row>
    <row r="172" spans="1:3" hidden="1" x14ac:dyDescent="0.25">
      <c r="A172">
        <v>506</v>
      </c>
      <c r="B172" t="s">
        <v>3</v>
      </c>
      <c r="C172">
        <v>13</v>
      </c>
    </row>
    <row r="173" spans="1:3" hidden="1" x14ac:dyDescent="0.25">
      <c r="A173">
        <v>506</v>
      </c>
      <c r="B173" t="s">
        <v>4</v>
      </c>
      <c r="C173">
        <v>179</v>
      </c>
    </row>
    <row r="174" spans="1:3" hidden="1" x14ac:dyDescent="0.25">
      <c r="A174">
        <v>506</v>
      </c>
      <c r="B174" t="s">
        <v>6</v>
      </c>
      <c r="C174">
        <v>23</v>
      </c>
    </row>
    <row r="175" spans="1:3" hidden="1" x14ac:dyDescent="0.25">
      <c r="A175">
        <v>506</v>
      </c>
      <c r="B175" t="s">
        <v>7</v>
      </c>
      <c r="C175">
        <v>5</v>
      </c>
    </row>
    <row r="176" spans="1:3" x14ac:dyDescent="0.25">
      <c r="A176">
        <v>506</v>
      </c>
      <c r="B176" t="s">
        <v>13</v>
      </c>
      <c r="C176">
        <v>1</v>
      </c>
    </row>
    <row r="177" spans="1:3" hidden="1" x14ac:dyDescent="0.25">
      <c r="A177">
        <v>506</v>
      </c>
      <c r="B177" t="s">
        <v>10</v>
      </c>
      <c r="C177">
        <v>4</v>
      </c>
    </row>
    <row r="178" spans="1:3" hidden="1" x14ac:dyDescent="0.25">
      <c r="A178">
        <v>509</v>
      </c>
      <c r="B178" t="s">
        <v>3</v>
      </c>
      <c r="C178">
        <v>5</v>
      </c>
    </row>
    <row r="179" spans="1:3" hidden="1" x14ac:dyDescent="0.25">
      <c r="A179">
        <v>509</v>
      </c>
      <c r="B179" t="s">
        <v>4</v>
      </c>
      <c r="C179">
        <v>115</v>
      </c>
    </row>
    <row r="180" spans="1:3" hidden="1" x14ac:dyDescent="0.25">
      <c r="A180">
        <v>509</v>
      </c>
      <c r="B180" t="s">
        <v>6</v>
      </c>
      <c r="C180">
        <v>8</v>
      </c>
    </row>
    <row r="181" spans="1:3" hidden="1" x14ac:dyDescent="0.25">
      <c r="A181">
        <v>509</v>
      </c>
      <c r="B181" t="s">
        <v>10</v>
      </c>
      <c r="C181">
        <v>3</v>
      </c>
    </row>
    <row r="182" spans="1:3" hidden="1" x14ac:dyDescent="0.25">
      <c r="A182">
        <v>512</v>
      </c>
      <c r="B182" t="s">
        <v>3</v>
      </c>
      <c r="C182">
        <v>11</v>
      </c>
    </row>
    <row r="183" spans="1:3" hidden="1" x14ac:dyDescent="0.25">
      <c r="A183">
        <v>512</v>
      </c>
      <c r="B183" t="s">
        <v>4</v>
      </c>
      <c r="C183">
        <v>166</v>
      </c>
    </row>
    <row r="184" spans="1:3" hidden="1" x14ac:dyDescent="0.25">
      <c r="A184">
        <v>512</v>
      </c>
      <c r="B184" t="s">
        <v>6</v>
      </c>
      <c r="C184">
        <v>48</v>
      </c>
    </row>
    <row r="185" spans="1:3" hidden="1" x14ac:dyDescent="0.25">
      <c r="A185">
        <v>512</v>
      </c>
      <c r="B185" t="s">
        <v>7</v>
      </c>
      <c r="C185">
        <v>3</v>
      </c>
    </row>
    <row r="186" spans="1:3" x14ac:dyDescent="0.25">
      <c r="A186">
        <v>512</v>
      </c>
      <c r="B186" t="s">
        <v>13</v>
      </c>
      <c r="C186">
        <v>2</v>
      </c>
    </row>
    <row r="187" spans="1:3" hidden="1" x14ac:dyDescent="0.25">
      <c r="A187">
        <v>512</v>
      </c>
      <c r="B187" t="s">
        <v>10</v>
      </c>
      <c r="C187">
        <v>12</v>
      </c>
    </row>
    <row r="188" spans="1:3" hidden="1" x14ac:dyDescent="0.25">
      <c r="A188">
        <v>515</v>
      </c>
      <c r="B188" t="s">
        <v>3</v>
      </c>
      <c r="C188">
        <v>10</v>
      </c>
    </row>
    <row r="189" spans="1:3" hidden="1" x14ac:dyDescent="0.25">
      <c r="A189">
        <v>515</v>
      </c>
      <c r="B189" t="s">
        <v>4</v>
      </c>
      <c r="C189">
        <v>158</v>
      </c>
    </row>
    <row r="190" spans="1:3" hidden="1" x14ac:dyDescent="0.25">
      <c r="A190">
        <v>515</v>
      </c>
      <c r="B190" t="s">
        <v>6</v>
      </c>
      <c r="C190">
        <v>4</v>
      </c>
    </row>
    <row r="191" spans="1:3" hidden="1" x14ac:dyDescent="0.25">
      <c r="A191">
        <v>518</v>
      </c>
      <c r="B191" t="s">
        <v>3</v>
      </c>
      <c r="C191">
        <v>11</v>
      </c>
    </row>
    <row r="192" spans="1:3" hidden="1" x14ac:dyDescent="0.25">
      <c r="A192">
        <v>518</v>
      </c>
      <c r="B192" t="s">
        <v>4</v>
      </c>
      <c r="C192">
        <v>167</v>
      </c>
    </row>
    <row r="193" spans="1:3" hidden="1" x14ac:dyDescent="0.25">
      <c r="A193">
        <v>518</v>
      </c>
      <c r="B193" t="s">
        <v>6</v>
      </c>
      <c r="C193">
        <v>2</v>
      </c>
    </row>
    <row r="194" spans="1:3" hidden="1" x14ac:dyDescent="0.25">
      <c r="A194">
        <v>521</v>
      </c>
      <c r="B194" t="s">
        <v>3</v>
      </c>
      <c r="C194">
        <v>1</v>
      </c>
    </row>
    <row r="195" spans="1:3" hidden="1" x14ac:dyDescent="0.25">
      <c r="A195">
        <v>521</v>
      </c>
      <c r="B195" t="s">
        <v>4</v>
      </c>
      <c r="C195">
        <v>219</v>
      </c>
    </row>
    <row r="196" spans="1:3" hidden="1" x14ac:dyDescent="0.25">
      <c r="A196">
        <v>525</v>
      </c>
      <c r="B196" t="s">
        <v>3</v>
      </c>
      <c r="C196">
        <v>12</v>
      </c>
    </row>
    <row r="197" spans="1:3" hidden="1" x14ac:dyDescent="0.25">
      <c r="A197">
        <v>525</v>
      </c>
      <c r="B197" t="s">
        <v>4</v>
      </c>
      <c r="C197">
        <v>154</v>
      </c>
    </row>
    <row r="198" spans="1:3" hidden="1" x14ac:dyDescent="0.25">
      <c r="A198">
        <v>529</v>
      </c>
      <c r="B198" t="s">
        <v>3</v>
      </c>
      <c r="C198">
        <v>24</v>
      </c>
    </row>
    <row r="199" spans="1:3" hidden="1" x14ac:dyDescent="0.25">
      <c r="A199">
        <v>529</v>
      </c>
      <c r="B199" t="s">
        <v>4</v>
      </c>
      <c r="C199">
        <v>143</v>
      </c>
    </row>
    <row r="200" spans="1:3" hidden="1" x14ac:dyDescent="0.25">
      <c r="A200">
        <v>529</v>
      </c>
      <c r="B200" t="s">
        <v>5</v>
      </c>
      <c r="C200">
        <v>7</v>
      </c>
    </row>
    <row r="201" spans="1:3" hidden="1" x14ac:dyDescent="0.25">
      <c r="A201">
        <v>529</v>
      </c>
      <c r="B201" t="s">
        <v>8</v>
      </c>
      <c r="C201">
        <v>3</v>
      </c>
    </row>
    <row r="202" spans="1:3" hidden="1" x14ac:dyDescent="0.25">
      <c r="A202">
        <v>529</v>
      </c>
      <c r="B202" t="s">
        <v>6</v>
      </c>
      <c r="C202">
        <v>3</v>
      </c>
    </row>
    <row r="203" spans="1:3" hidden="1" x14ac:dyDescent="0.25">
      <c r="A203">
        <v>533</v>
      </c>
      <c r="B203" t="s">
        <v>12</v>
      </c>
      <c r="C203">
        <v>1</v>
      </c>
    </row>
    <row r="204" spans="1:3" hidden="1" x14ac:dyDescent="0.25">
      <c r="A204">
        <v>533</v>
      </c>
      <c r="B204" t="s">
        <v>3</v>
      </c>
      <c r="C204">
        <v>9</v>
      </c>
    </row>
    <row r="205" spans="1:3" hidden="1" x14ac:dyDescent="0.25">
      <c r="A205">
        <v>533</v>
      </c>
      <c r="B205" t="s">
        <v>4</v>
      </c>
      <c r="C205">
        <v>118</v>
      </c>
    </row>
    <row r="206" spans="1:3" hidden="1" x14ac:dyDescent="0.25">
      <c r="A206">
        <v>536</v>
      </c>
      <c r="B206" t="s">
        <v>4</v>
      </c>
      <c r="C206">
        <v>125</v>
      </c>
    </row>
    <row r="207" spans="1:3" hidden="1" x14ac:dyDescent="0.25">
      <c r="A207">
        <v>545</v>
      </c>
      <c r="B207" t="s">
        <v>4</v>
      </c>
      <c r="C207">
        <v>10</v>
      </c>
    </row>
    <row r="208" spans="1:3" hidden="1" x14ac:dyDescent="0.25">
      <c r="A208">
        <v>545</v>
      </c>
      <c r="B208" t="s">
        <v>5</v>
      </c>
      <c r="C208">
        <v>7</v>
      </c>
    </row>
    <row r="209" spans="1:3" hidden="1" x14ac:dyDescent="0.25">
      <c r="A209">
        <v>547</v>
      </c>
      <c r="B209" t="s">
        <v>4</v>
      </c>
      <c r="C209">
        <v>24</v>
      </c>
    </row>
    <row r="210" spans="1:3" hidden="1" x14ac:dyDescent="0.25">
      <c r="A210">
        <v>547</v>
      </c>
      <c r="B210" t="s">
        <v>5</v>
      </c>
      <c r="C210">
        <v>7</v>
      </c>
    </row>
    <row r="211" spans="1:3" hidden="1" x14ac:dyDescent="0.25">
      <c r="A211">
        <v>547</v>
      </c>
      <c r="B211" t="s">
        <v>8</v>
      </c>
      <c r="C211">
        <v>2</v>
      </c>
    </row>
    <row r="212" spans="1:3" hidden="1" x14ac:dyDescent="0.25">
      <c r="A212">
        <v>547</v>
      </c>
      <c r="B212" t="s">
        <v>6</v>
      </c>
      <c r="C212">
        <v>1</v>
      </c>
    </row>
    <row r="213" spans="1:3" hidden="1" x14ac:dyDescent="0.25">
      <c r="A213">
        <v>550</v>
      </c>
      <c r="B213" t="s">
        <v>4</v>
      </c>
      <c r="C213">
        <v>18</v>
      </c>
    </row>
    <row r="214" spans="1:3" hidden="1" x14ac:dyDescent="0.25">
      <c r="A214">
        <v>550</v>
      </c>
      <c r="B214" t="s">
        <v>5</v>
      </c>
      <c r="C214">
        <v>2</v>
      </c>
    </row>
    <row r="215" spans="1:3" hidden="1" x14ac:dyDescent="0.25">
      <c r="A215">
        <v>550</v>
      </c>
      <c r="B215" t="s">
        <v>6</v>
      </c>
      <c r="C215">
        <v>5</v>
      </c>
    </row>
    <row r="216" spans="1:3" hidden="1" x14ac:dyDescent="0.25">
      <c r="A216">
        <v>553</v>
      </c>
      <c r="B216" t="s">
        <v>4</v>
      </c>
      <c r="C216">
        <v>24</v>
      </c>
    </row>
    <row r="217" spans="1:3" hidden="1" x14ac:dyDescent="0.25">
      <c r="A217">
        <v>553</v>
      </c>
      <c r="B217" t="s">
        <v>6</v>
      </c>
      <c r="C217">
        <v>6</v>
      </c>
    </row>
    <row r="218" spans="1:3" hidden="1" x14ac:dyDescent="0.25">
      <c r="A218">
        <v>553</v>
      </c>
      <c r="B218" t="s">
        <v>7</v>
      </c>
      <c r="C218">
        <v>1</v>
      </c>
    </row>
    <row r="219" spans="1:3" hidden="1" x14ac:dyDescent="0.25">
      <c r="A219">
        <v>556</v>
      </c>
      <c r="B219" t="s">
        <v>4</v>
      </c>
      <c r="C219">
        <v>39</v>
      </c>
    </row>
    <row r="220" spans="1:3" hidden="1" x14ac:dyDescent="0.25">
      <c r="A220">
        <v>556</v>
      </c>
      <c r="B220" t="s">
        <v>6</v>
      </c>
      <c r="C220">
        <v>3</v>
      </c>
    </row>
    <row r="221" spans="1:3" hidden="1" x14ac:dyDescent="0.25">
      <c r="A221">
        <v>558</v>
      </c>
      <c r="B221" t="s">
        <v>4</v>
      </c>
      <c r="C221">
        <v>39</v>
      </c>
    </row>
    <row r="222" spans="1:3" hidden="1" x14ac:dyDescent="0.25">
      <c r="A222">
        <v>561</v>
      </c>
      <c r="B222" t="s">
        <v>4</v>
      </c>
      <c r="C222">
        <v>38</v>
      </c>
    </row>
    <row r="223" spans="1:3" hidden="1" x14ac:dyDescent="0.25">
      <c r="A223">
        <v>561</v>
      </c>
      <c r="B223" t="s">
        <v>6</v>
      </c>
      <c r="C223">
        <v>1</v>
      </c>
    </row>
    <row r="224" spans="1:3" hidden="1" x14ac:dyDescent="0.25">
      <c r="A224">
        <v>561</v>
      </c>
      <c r="B224" t="s">
        <v>7</v>
      </c>
      <c r="C224">
        <v>1</v>
      </c>
    </row>
    <row r="225" spans="1:3" hidden="1" x14ac:dyDescent="0.25">
      <c r="A225">
        <v>564</v>
      </c>
      <c r="B225" t="s">
        <v>4</v>
      </c>
      <c r="C225">
        <v>24</v>
      </c>
    </row>
    <row r="226" spans="1:3" hidden="1" x14ac:dyDescent="0.25">
      <c r="A226">
        <v>564</v>
      </c>
      <c r="B226" t="s">
        <v>6</v>
      </c>
      <c r="C226">
        <v>3</v>
      </c>
    </row>
    <row r="227" spans="1:3" hidden="1" x14ac:dyDescent="0.25">
      <c r="A227">
        <v>567</v>
      </c>
      <c r="B227" t="s">
        <v>4</v>
      </c>
      <c r="C227">
        <v>15</v>
      </c>
    </row>
    <row r="228" spans="1:3" hidden="1" x14ac:dyDescent="0.25">
      <c r="A228">
        <v>567</v>
      </c>
      <c r="B228" t="s">
        <v>6</v>
      </c>
      <c r="C228">
        <v>9</v>
      </c>
    </row>
    <row r="229" spans="1:3" hidden="1" x14ac:dyDescent="0.25">
      <c r="A229">
        <v>569</v>
      </c>
      <c r="B229" t="s">
        <v>4</v>
      </c>
      <c r="C229">
        <v>15</v>
      </c>
    </row>
    <row r="230" spans="1:3" hidden="1" x14ac:dyDescent="0.25">
      <c r="A230">
        <v>569</v>
      </c>
      <c r="B230" t="s">
        <v>6</v>
      </c>
      <c r="C230">
        <v>8</v>
      </c>
    </row>
    <row r="231" spans="1:3" hidden="1" x14ac:dyDescent="0.25">
      <c r="A231">
        <v>572</v>
      </c>
      <c r="B231" t="s">
        <v>4</v>
      </c>
      <c r="C231">
        <v>33</v>
      </c>
    </row>
    <row r="232" spans="1:3" hidden="1" x14ac:dyDescent="0.25">
      <c r="A232">
        <v>572</v>
      </c>
      <c r="B232" t="s">
        <v>6</v>
      </c>
      <c r="C232">
        <v>7</v>
      </c>
    </row>
    <row r="233" spans="1:3" hidden="1" x14ac:dyDescent="0.25">
      <c r="A233">
        <v>574</v>
      </c>
      <c r="B233" t="s">
        <v>4</v>
      </c>
      <c r="C233">
        <v>22</v>
      </c>
    </row>
    <row r="234" spans="1:3" hidden="1" x14ac:dyDescent="0.25">
      <c r="A234">
        <v>574</v>
      </c>
      <c r="B234" t="s">
        <v>6</v>
      </c>
      <c r="C234">
        <v>28</v>
      </c>
    </row>
    <row r="235" spans="1:3" hidden="1" x14ac:dyDescent="0.25">
      <c r="A235">
        <v>576</v>
      </c>
      <c r="B235" t="s">
        <v>4</v>
      </c>
      <c r="C235">
        <v>9</v>
      </c>
    </row>
    <row r="236" spans="1:3" hidden="1" x14ac:dyDescent="0.25">
      <c r="A236">
        <v>576</v>
      </c>
      <c r="B236" t="s">
        <v>6</v>
      </c>
      <c r="C236">
        <v>15</v>
      </c>
    </row>
    <row r="237" spans="1:3" hidden="1" x14ac:dyDescent="0.25">
      <c r="A237">
        <v>577</v>
      </c>
      <c r="B237" t="s">
        <v>4</v>
      </c>
      <c r="C237">
        <v>15</v>
      </c>
    </row>
    <row r="238" spans="1:3" hidden="1" x14ac:dyDescent="0.25">
      <c r="A238">
        <v>577</v>
      </c>
      <c r="B238" t="s">
        <v>6</v>
      </c>
      <c r="C238">
        <v>12</v>
      </c>
    </row>
    <row r="239" spans="1:3" hidden="1" x14ac:dyDescent="0.25">
      <c r="A239">
        <v>580</v>
      </c>
      <c r="B239" t="s">
        <v>4</v>
      </c>
      <c r="C239">
        <v>20</v>
      </c>
    </row>
    <row r="240" spans="1:3" hidden="1" x14ac:dyDescent="0.25">
      <c r="A240">
        <v>580</v>
      </c>
      <c r="B240" t="s">
        <v>6</v>
      </c>
      <c r="C240">
        <v>16</v>
      </c>
    </row>
    <row r="241" spans="1:3" hidden="1" x14ac:dyDescent="0.25">
      <c r="A241">
        <v>584</v>
      </c>
      <c r="B241" t="s">
        <v>4</v>
      </c>
      <c r="C241">
        <v>28</v>
      </c>
    </row>
    <row r="242" spans="1:3" hidden="1" x14ac:dyDescent="0.25">
      <c r="A242">
        <v>584</v>
      </c>
      <c r="B242" t="s">
        <v>6</v>
      </c>
      <c r="C242">
        <v>19</v>
      </c>
    </row>
    <row r="243" spans="1:3" hidden="1" x14ac:dyDescent="0.25">
      <c r="A243">
        <v>586</v>
      </c>
      <c r="B243" t="s">
        <v>4</v>
      </c>
      <c r="C243">
        <v>19</v>
      </c>
    </row>
    <row r="244" spans="1:3" hidden="1" x14ac:dyDescent="0.25">
      <c r="A244">
        <v>586</v>
      </c>
      <c r="B244" t="s">
        <v>6</v>
      </c>
      <c r="C244">
        <v>5</v>
      </c>
    </row>
    <row r="245" spans="1:3" hidden="1" x14ac:dyDescent="0.25">
      <c r="A245">
        <v>587</v>
      </c>
      <c r="B245" t="s">
        <v>4</v>
      </c>
      <c r="C245">
        <v>2</v>
      </c>
    </row>
    <row r="246" spans="1:3" hidden="1" x14ac:dyDescent="0.25">
      <c r="A246">
        <v>587</v>
      </c>
      <c r="B246" t="s">
        <v>6</v>
      </c>
      <c r="C246">
        <v>1</v>
      </c>
    </row>
    <row r="247" spans="1:3" hidden="1" x14ac:dyDescent="0.25">
      <c r="A247">
        <v>589</v>
      </c>
      <c r="B247" t="s">
        <v>4</v>
      </c>
      <c r="C247">
        <v>20</v>
      </c>
    </row>
    <row r="248" spans="1:3" hidden="1" x14ac:dyDescent="0.25">
      <c r="A248">
        <v>589</v>
      </c>
      <c r="B248" t="s">
        <v>6</v>
      </c>
      <c r="C248">
        <v>8</v>
      </c>
    </row>
    <row r="249" spans="1:3" hidden="1" x14ac:dyDescent="0.25">
      <c r="A249">
        <v>589</v>
      </c>
      <c r="B249" t="s">
        <v>7</v>
      </c>
      <c r="C249">
        <v>1</v>
      </c>
    </row>
    <row r="250" spans="1:3" hidden="1" x14ac:dyDescent="0.25">
      <c r="A250">
        <v>592</v>
      </c>
      <c r="B250" t="s">
        <v>4</v>
      </c>
      <c r="C250">
        <v>17</v>
      </c>
    </row>
    <row r="251" spans="1:3" hidden="1" x14ac:dyDescent="0.25">
      <c r="A251">
        <v>592</v>
      </c>
      <c r="B251" t="s">
        <v>6</v>
      </c>
      <c r="C251">
        <v>1</v>
      </c>
    </row>
    <row r="252" spans="1:3" hidden="1" x14ac:dyDescent="0.25">
      <c r="A252">
        <v>594</v>
      </c>
      <c r="B252" t="s">
        <v>4</v>
      </c>
      <c r="C252">
        <v>23</v>
      </c>
    </row>
    <row r="253" spans="1:3" hidden="1" x14ac:dyDescent="0.25">
      <c r="A253">
        <v>594</v>
      </c>
      <c r="B253" t="s">
        <v>6</v>
      </c>
      <c r="C253">
        <v>4</v>
      </c>
    </row>
    <row r="254" spans="1:3" hidden="1" x14ac:dyDescent="0.25">
      <c r="A254">
        <v>596</v>
      </c>
      <c r="B254" t="s">
        <v>4</v>
      </c>
      <c r="C254">
        <v>17</v>
      </c>
    </row>
    <row r="255" spans="1:3" hidden="1" x14ac:dyDescent="0.25">
      <c r="A255">
        <v>596</v>
      </c>
      <c r="B255" t="s">
        <v>6</v>
      </c>
      <c r="C255">
        <v>2</v>
      </c>
    </row>
    <row r="256" spans="1:3" hidden="1" x14ac:dyDescent="0.25">
      <c r="A256">
        <v>598</v>
      </c>
      <c r="B256" t="s">
        <v>4</v>
      </c>
      <c r="C256">
        <v>16</v>
      </c>
    </row>
    <row r="257" spans="1:3" hidden="1" x14ac:dyDescent="0.25">
      <c r="A257">
        <v>601</v>
      </c>
      <c r="B257" t="s">
        <v>4</v>
      </c>
      <c r="C257">
        <v>30</v>
      </c>
    </row>
    <row r="258" spans="1:3" hidden="1" x14ac:dyDescent="0.25">
      <c r="A258">
        <v>601</v>
      </c>
      <c r="B258" t="s">
        <v>6</v>
      </c>
      <c r="C258">
        <v>1</v>
      </c>
    </row>
    <row r="259" spans="1:3" hidden="1" x14ac:dyDescent="0.25">
      <c r="A259">
        <v>603</v>
      </c>
      <c r="B259" t="s">
        <v>4</v>
      </c>
      <c r="C259">
        <v>20</v>
      </c>
    </row>
    <row r="260" spans="1:3" hidden="1" x14ac:dyDescent="0.25">
      <c r="A260">
        <v>606</v>
      </c>
      <c r="B260" t="s">
        <v>4</v>
      </c>
      <c r="C260">
        <v>49</v>
      </c>
    </row>
    <row r="261" spans="1:3" hidden="1" x14ac:dyDescent="0.25">
      <c r="A261">
        <v>606</v>
      </c>
      <c r="B261" t="s">
        <v>15</v>
      </c>
      <c r="C261">
        <v>2</v>
      </c>
    </row>
    <row r="262" spans="1:3" hidden="1" x14ac:dyDescent="0.25">
      <c r="A262">
        <v>609</v>
      </c>
      <c r="B262" t="s">
        <v>4</v>
      </c>
      <c r="C262">
        <v>44</v>
      </c>
    </row>
    <row r="263" spans="1:3" hidden="1" x14ac:dyDescent="0.25">
      <c r="A263">
        <v>612</v>
      </c>
      <c r="B263" t="s">
        <v>4</v>
      </c>
      <c r="C263">
        <v>25</v>
      </c>
    </row>
    <row r="264" spans="1:3" hidden="1" x14ac:dyDescent="0.25">
      <c r="A264">
        <v>615</v>
      </c>
      <c r="B264" t="s">
        <v>4</v>
      </c>
      <c r="C264">
        <v>42</v>
      </c>
    </row>
    <row r="265" spans="1:3" hidden="1" x14ac:dyDescent="0.25">
      <c r="A265">
        <v>618</v>
      </c>
      <c r="B265" t="s">
        <v>4</v>
      </c>
      <c r="C265">
        <v>24</v>
      </c>
    </row>
    <row r="266" spans="1:3" hidden="1" x14ac:dyDescent="0.25">
      <c r="A266">
        <v>618</v>
      </c>
      <c r="B266" t="s">
        <v>7</v>
      </c>
      <c r="C266">
        <v>1</v>
      </c>
    </row>
    <row r="267" spans="1:3" hidden="1" x14ac:dyDescent="0.25">
      <c r="A267">
        <v>621</v>
      </c>
      <c r="B267" t="s">
        <v>4</v>
      </c>
      <c r="C267">
        <v>25</v>
      </c>
    </row>
    <row r="268" spans="1:3" hidden="1" x14ac:dyDescent="0.25">
      <c r="A268">
        <v>621</v>
      </c>
      <c r="B268" t="s">
        <v>6</v>
      </c>
      <c r="C268">
        <v>5</v>
      </c>
    </row>
    <row r="269" spans="1:3" hidden="1" x14ac:dyDescent="0.25">
      <c r="A269">
        <v>624</v>
      </c>
      <c r="B269" t="s">
        <v>4</v>
      </c>
      <c r="C269">
        <v>20</v>
      </c>
    </row>
    <row r="270" spans="1:3" hidden="1" x14ac:dyDescent="0.25">
      <c r="A270">
        <v>624</v>
      </c>
      <c r="B270" t="s">
        <v>6</v>
      </c>
      <c r="C270">
        <v>9</v>
      </c>
    </row>
    <row r="271" spans="1:3" hidden="1" x14ac:dyDescent="0.25">
      <c r="A271">
        <v>624</v>
      </c>
      <c r="B271" t="s">
        <v>15</v>
      </c>
      <c r="C271">
        <v>2</v>
      </c>
    </row>
    <row r="272" spans="1:3" hidden="1" x14ac:dyDescent="0.25">
      <c r="A272">
        <v>627</v>
      </c>
      <c r="B272" t="s">
        <v>4</v>
      </c>
      <c r="C272">
        <v>16</v>
      </c>
    </row>
    <row r="273" spans="1:3" hidden="1" x14ac:dyDescent="0.25">
      <c r="A273">
        <v>627</v>
      </c>
      <c r="B273" t="s">
        <v>6</v>
      </c>
      <c r="C273">
        <v>4</v>
      </c>
    </row>
    <row r="274" spans="1:3" hidden="1" x14ac:dyDescent="0.25">
      <c r="A274">
        <v>627</v>
      </c>
      <c r="B274" t="s">
        <v>7</v>
      </c>
      <c r="C274">
        <v>1</v>
      </c>
    </row>
    <row r="275" spans="1:3" hidden="1" x14ac:dyDescent="0.25">
      <c r="A275">
        <v>628</v>
      </c>
      <c r="B275" t="s">
        <v>4</v>
      </c>
      <c r="C275">
        <v>2</v>
      </c>
    </row>
    <row r="276" spans="1:3" hidden="1" x14ac:dyDescent="0.25">
      <c r="A276">
        <v>628</v>
      </c>
      <c r="B276" t="s">
        <v>6</v>
      </c>
      <c r="C276">
        <v>12</v>
      </c>
    </row>
    <row r="277" spans="1:3" hidden="1" x14ac:dyDescent="0.25">
      <c r="A277">
        <v>633</v>
      </c>
      <c r="B277" t="s">
        <v>4</v>
      </c>
      <c r="C277">
        <v>16</v>
      </c>
    </row>
    <row r="278" spans="1:3" hidden="1" x14ac:dyDescent="0.25">
      <c r="A278">
        <v>633</v>
      </c>
      <c r="B278" t="s">
        <v>6</v>
      </c>
      <c r="C278">
        <v>8</v>
      </c>
    </row>
    <row r="279" spans="1:3" hidden="1" x14ac:dyDescent="0.25">
      <c r="A279">
        <v>637</v>
      </c>
      <c r="B279" t="s">
        <v>4</v>
      </c>
      <c r="C279">
        <v>8</v>
      </c>
    </row>
    <row r="280" spans="1:3" hidden="1" x14ac:dyDescent="0.25">
      <c r="A280">
        <v>637</v>
      </c>
      <c r="B280" t="s">
        <v>6</v>
      </c>
      <c r="C280">
        <v>16</v>
      </c>
    </row>
    <row r="281" spans="1:3" hidden="1" x14ac:dyDescent="0.25">
      <c r="A281">
        <v>640</v>
      </c>
      <c r="B281" t="s">
        <v>4</v>
      </c>
      <c r="C281">
        <v>7</v>
      </c>
    </row>
    <row r="282" spans="1:3" hidden="1" x14ac:dyDescent="0.25">
      <c r="A282">
        <v>640</v>
      </c>
      <c r="B282" t="s">
        <v>6</v>
      </c>
      <c r="C282">
        <v>9</v>
      </c>
    </row>
    <row r="283" spans="1:3" hidden="1" x14ac:dyDescent="0.25">
      <c r="A283">
        <v>645</v>
      </c>
      <c r="B283" t="s">
        <v>4</v>
      </c>
      <c r="C283">
        <v>20</v>
      </c>
    </row>
    <row r="284" spans="1:3" hidden="1" x14ac:dyDescent="0.25">
      <c r="A284">
        <v>645</v>
      </c>
      <c r="B284" t="s">
        <v>6</v>
      </c>
      <c r="C284">
        <v>3</v>
      </c>
    </row>
    <row r="285" spans="1:3" hidden="1" x14ac:dyDescent="0.25">
      <c r="A285">
        <v>648</v>
      </c>
      <c r="B285" t="s">
        <v>4</v>
      </c>
      <c r="C285">
        <v>22</v>
      </c>
    </row>
    <row r="286" spans="1:3" hidden="1" x14ac:dyDescent="0.25">
      <c r="A286">
        <v>648</v>
      </c>
      <c r="B286" t="s">
        <v>6</v>
      </c>
      <c r="C286">
        <v>6</v>
      </c>
    </row>
    <row r="287" spans="1:3" hidden="1" x14ac:dyDescent="0.25">
      <c r="A287">
        <v>648</v>
      </c>
      <c r="B287" t="s">
        <v>7</v>
      </c>
      <c r="C287">
        <v>1</v>
      </c>
    </row>
    <row r="288" spans="1:3" hidden="1" x14ac:dyDescent="0.25">
      <c r="A288">
        <v>651</v>
      </c>
      <c r="B288" t="s">
        <v>4</v>
      </c>
      <c r="C288">
        <v>5</v>
      </c>
    </row>
    <row r="289" spans="1:3" hidden="1" x14ac:dyDescent="0.25">
      <c r="A289">
        <v>651</v>
      </c>
      <c r="B289" t="s">
        <v>6</v>
      </c>
      <c r="C289">
        <v>13</v>
      </c>
    </row>
    <row r="290" spans="1:3" hidden="1" x14ac:dyDescent="0.25">
      <c r="A290">
        <v>655</v>
      </c>
      <c r="B290" t="s">
        <v>4</v>
      </c>
      <c r="C290">
        <v>12</v>
      </c>
    </row>
    <row r="291" spans="1:3" hidden="1" x14ac:dyDescent="0.25">
      <c r="A291">
        <v>655</v>
      </c>
      <c r="B291" t="s">
        <v>6</v>
      </c>
      <c r="C291">
        <v>13</v>
      </c>
    </row>
    <row r="292" spans="1:3" hidden="1" x14ac:dyDescent="0.25">
      <c r="A292">
        <v>655</v>
      </c>
      <c r="B292" t="s">
        <v>7</v>
      </c>
      <c r="C292">
        <v>1</v>
      </c>
    </row>
    <row r="293" spans="1:3" hidden="1" x14ac:dyDescent="0.25">
      <c r="A293">
        <v>661</v>
      </c>
      <c r="B293" t="s">
        <v>4</v>
      </c>
      <c r="C293">
        <v>15</v>
      </c>
    </row>
    <row r="294" spans="1:3" hidden="1" x14ac:dyDescent="0.25">
      <c r="A294">
        <v>661</v>
      </c>
      <c r="B294" t="s">
        <v>6</v>
      </c>
      <c r="C294">
        <v>23</v>
      </c>
    </row>
    <row r="295" spans="1:3" hidden="1" x14ac:dyDescent="0.25">
      <c r="A295">
        <v>664</v>
      </c>
      <c r="B295" t="s">
        <v>4</v>
      </c>
      <c r="C295">
        <v>13</v>
      </c>
    </row>
    <row r="296" spans="1:3" hidden="1" x14ac:dyDescent="0.25">
      <c r="A296">
        <v>664</v>
      </c>
      <c r="B296" t="s">
        <v>6</v>
      </c>
      <c r="C296">
        <v>5</v>
      </c>
    </row>
    <row r="297" spans="1:3" hidden="1" x14ac:dyDescent="0.25">
      <c r="A297">
        <v>669</v>
      </c>
      <c r="B297" t="s">
        <v>4</v>
      </c>
      <c r="C297">
        <v>15</v>
      </c>
    </row>
    <row r="298" spans="1:3" hidden="1" x14ac:dyDescent="0.25">
      <c r="A298">
        <v>669</v>
      </c>
      <c r="B298" t="s">
        <v>6</v>
      </c>
      <c r="C298">
        <v>15</v>
      </c>
    </row>
    <row r="299" spans="1:3" hidden="1" x14ac:dyDescent="0.25">
      <c r="A299">
        <v>672</v>
      </c>
      <c r="B299" t="s">
        <v>4</v>
      </c>
      <c r="C299">
        <v>5</v>
      </c>
    </row>
    <row r="300" spans="1:3" hidden="1" x14ac:dyDescent="0.25">
      <c r="A300">
        <v>672</v>
      </c>
      <c r="B300" t="s">
        <v>6</v>
      </c>
      <c r="C300">
        <v>21</v>
      </c>
    </row>
    <row r="301" spans="1:3" hidden="1" x14ac:dyDescent="0.25">
      <c r="A301">
        <v>676</v>
      </c>
      <c r="B301" t="s">
        <v>4</v>
      </c>
      <c r="C301">
        <v>14</v>
      </c>
    </row>
    <row r="302" spans="1:3" hidden="1" x14ac:dyDescent="0.25">
      <c r="A302">
        <v>676</v>
      </c>
      <c r="B302" t="s">
        <v>6</v>
      </c>
      <c r="C302">
        <v>25</v>
      </c>
    </row>
    <row r="303" spans="1:3" hidden="1" x14ac:dyDescent="0.25">
      <c r="A303">
        <v>678</v>
      </c>
      <c r="B303" t="s">
        <v>4</v>
      </c>
      <c r="C303">
        <v>15</v>
      </c>
    </row>
    <row r="304" spans="1:3" hidden="1" x14ac:dyDescent="0.25">
      <c r="A304">
        <v>678</v>
      </c>
      <c r="B304" t="s">
        <v>6</v>
      </c>
      <c r="C304">
        <v>18</v>
      </c>
    </row>
    <row r="305" spans="1:3" hidden="1" x14ac:dyDescent="0.25">
      <c r="A305">
        <v>681</v>
      </c>
      <c r="B305" t="s">
        <v>4</v>
      </c>
      <c r="C305">
        <v>24</v>
      </c>
    </row>
    <row r="306" spans="1:3" hidden="1" x14ac:dyDescent="0.25">
      <c r="A306">
        <v>681</v>
      </c>
      <c r="B306" t="s">
        <v>6</v>
      </c>
      <c r="C306">
        <v>8</v>
      </c>
    </row>
    <row r="307" spans="1:3" hidden="1" x14ac:dyDescent="0.25">
      <c r="A307">
        <v>684</v>
      </c>
      <c r="B307" t="s">
        <v>4</v>
      </c>
      <c r="C307">
        <v>30</v>
      </c>
    </row>
    <row r="308" spans="1:3" hidden="1" x14ac:dyDescent="0.25">
      <c r="A308">
        <v>684</v>
      </c>
      <c r="B308" t="s">
        <v>6</v>
      </c>
      <c r="C308">
        <v>7</v>
      </c>
    </row>
    <row r="309" spans="1:3" hidden="1" x14ac:dyDescent="0.25">
      <c r="A309">
        <v>689</v>
      </c>
      <c r="B309" t="s">
        <v>4</v>
      </c>
      <c r="C309">
        <v>25</v>
      </c>
    </row>
    <row r="310" spans="1:3" hidden="1" x14ac:dyDescent="0.25">
      <c r="A310">
        <v>689</v>
      </c>
      <c r="B310" t="s">
        <v>6</v>
      </c>
      <c r="C310">
        <v>16</v>
      </c>
    </row>
    <row r="311" spans="1:3" hidden="1" x14ac:dyDescent="0.25">
      <c r="A311">
        <v>693</v>
      </c>
      <c r="B311" t="s">
        <v>4</v>
      </c>
      <c r="C311">
        <v>24</v>
      </c>
    </row>
    <row r="312" spans="1:3" hidden="1" x14ac:dyDescent="0.25">
      <c r="A312">
        <v>693</v>
      </c>
      <c r="B312" t="s">
        <v>6</v>
      </c>
      <c r="C312">
        <v>1</v>
      </c>
    </row>
    <row r="313" spans="1:3" hidden="1" x14ac:dyDescent="0.25">
      <c r="A313">
        <v>696</v>
      </c>
      <c r="B313" t="s">
        <v>4</v>
      </c>
      <c r="C313">
        <v>20</v>
      </c>
    </row>
    <row r="314" spans="1:3" hidden="1" x14ac:dyDescent="0.25">
      <c r="A314">
        <v>699</v>
      </c>
      <c r="B314" t="s">
        <v>4</v>
      </c>
      <c r="C314">
        <v>13</v>
      </c>
    </row>
    <row r="315" spans="1:3" hidden="1" x14ac:dyDescent="0.25">
      <c r="A315">
        <v>702</v>
      </c>
      <c r="B315" t="s">
        <v>4</v>
      </c>
      <c r="C315">
        <v>8</v>
      </c>
    </row>
    <row r="316" spans="1:3" hidden="1" x14ac:dyDescent="0.25">
      <c r="A316">
        <v>702</v>
      </c>
      <c r="B316" t="s">
        <v>6</v>
      </c>
      <c r="C316">
        <v>1</v>
      </c>
    </row>
    <row r="317" spans="1:3" hidden="1" x14ac:dyDescent="0.25">
      <c r="A317">
        <v>705</v>
      </c>
      <c r="B317" t="s">
        <v>4</v>
      </c>
      <c r="C317">
        <v>15</v>
      </c>
    </row>
    <row r="318" spans="1:3" hidden="1" x14ac:dyDescent="0.25">
      <c r="A318">
        <v>709</v>
      </c>
      <c r="B318" t="s">
        <v>4</v>
      </c>
      <c r="C318">
        <v>19</v>
      </c>
    </row>
    <row r="319" spans="1:3" hidden="1" x14ac:dyDescent="0.25">
      <c r="A319">
        <v>712</v>
      </c>
      <c r="B319" t="s">
        <v>4</v>
      </c>
      <c r="C319">
        <v>4</v>
      </c>
    </row>
    <row r="320" spans="1:3" hidden="1" x14ac:dyDescent="0.25">
      <c r="A320">
        <v>712</v>
      </c>
      <c r="B320" t="s">
        <v>6</v>
      </c>
      <c r="C320">
        <v>1</v>
      </c>
    </row>
    <row r="321" spans="1:3" hidden="1" x14ac:dyDescent="0.25">
      <c r="A321">
        <v>712</v>
      </c>
      <c r="B321" t="s">
        <v>7</v>
      </c>
      <c r="C321">
        <v>1</v>
      </c>
    </row>
    <row r="322" spans="1:3" hidden="1" x14ac:dyDescent="0.25">
      <c r="A322">
        <v>716</v>
      </c>
      <c r="B322" t="s">
        <v>4</v>
      </c>
      <c r="C322">
        <v>21</v>
      </c>
    </row>
    <row r="323" spans="1:3" hidden="1" x14ac:dyDescent="0.25">
      <c r="A323">
        <v>716</v>
      </c>
      <c r="B323" t="s">
        <v>6</v>
      </c>
      <c r="C323">
        <v>5</v>
      </c>
    </row>
    <row r="324" spans="1:3" hidden="1" x14ac:dyDescent="0.25">
      <c r="A324">
        <v>718</v>
      </c>
      <c r="B324" t="s">
        <v>4</v>
      </c>
      <c r="C324">
        <v>21</v>
      </c>
    </row>
    <row r="325" spans="1:3" hidden="1" x14ac:dyDescent="0.25">
      <c r="A325">
        <v>721</v>
      </c>
      <c r="B325" t="s">
        <v>4</v>
      </c>
      <c r="C325">
        <v>19</v>
      </c>
    </row>
    <row r="326" spans="1:3" hidden="1" x14ac:dyDescent="0.25">
      <c r="A326">
        <v>721</v>
      </c>
      <c r="B326" t="s">
        <v>6</v>
      </c>
      <c r="C326">
        <v>1</v>
      </c>
    </row>
    <row r="327" spans="1:3" hidden="1" x14ac:dyDescent="0.25">
      <c r="A327">
        <v>723</v>
      </c>
      <c r="B327" t="s">
        <v>4</v>
      </c>
      <c r="C327">
        <v>19</v>
      </c>
    </row>
    <row r="328" spans="1:3" hidden="1" x14ac:dyDescent="0.25">
      <c r="A328">
        <v>723</v>
      </c>
      <c r="B328" t="s">
        <v>6</v>
      </c>
      <c r="C328">
        <v>5</v>
      </c>
    </row>
    <row r="329" spans="1:3" hidden="1" x14ac:dyDescent="0.25">
      <c r="A329">
        <v>723</v>
      </c>
      <c r="B329" t="s">
        <v>7</v>
      </c>
      <c r="C329">
        <v>3</v>
      </c>
    </row>
    <row r="330" spans="1:3" hidden="1" x14ac:dyDescent="0.25">
      <c r="A330">
        <v>725</v>
      </c>
      <c r="B330" t="s">
        <v>4</v>
      </c>
      <c r="C330">
        <v>13</v>
      </c>
    </row>
    <row r="331" spans="1:3" hidden="1" x14ac:dyDescent="0.25">
      <c r="A331">
        <v>725</v>
      </c>
      <c r="B331" t="s">
        <v>6</v>
      </c>
      <c r="C331">
        <v>18</v>
      </c>
    </row>
    <row r="332" spans="1:3" hidden="1" x14ac:dyDescent="0.25">
      <c r="A332">
        <v>725</v>
      </c>
      <c r="B332" t="s">
        <v>7</v>
      </c>
      <c r="C332">
        <v>1</v>
      </c>
    </row>
    <row r="333" spans="1:3" hidden="1" x14ac:dyDescent="0.25">
      <c r="A333">
        <v>728</v>
      </c>
      <c r="B333" t="s">
        <v>4</v>
      </c>
      <c r="C333">
        <v>23</v>
      </c>
    </row>
    <row r="334" spans="1:3" hidden="1" x14ac:dyDescent="0.25">
      <c r="A334">
        <v>728</v>
      </c>
      <c r="B334" t="s">
        <v>6</v>
      </c>
      <c r="C334">
        <v>13</v>
      </c>
    </row>
    <row r="335" spans="1:3" hidden="1" x14ac:dyDescent="0.25">
      <c r="A335">
        <v>731</v>
      </c>
      <c r="B335" t="s">
        <v>4</v>
      </c>
      <c r="C335">
        <v>7</v>
      </c>
    </row>
    <row r="336" spans="1:3" hidden="1" x14ac:dyDescent="0.25">
      <c r="A336">
        <v>731</v>
      </c>
      <c r="B336" t="s">
        <v>6</v>
      </c>
      <c r="C336">
        <v>15</v>
      </c>
    </row>
    <row r="337" spans="1:3" hidden="1" x14ac:dyDescent="0.25">
      <c r="A337">
        <v>734</v>
      </c>
      <c r="B337" t="s">
        <v>4</v>
      </c>
      <c r="C337">
        <v>7</v>
      </c>
    </row>
    <row r="338" spans="1:3" hidden="1" x14ac:dyDescent="0.25">
      <c r="A338">
        <v>734</v>
      </c>
      <c r="B338" t="s">
        <v>5</v>
      </c>
      <c r="C338">
        <v>4</v>
      </c>
    </row>
    <row r="339" spans="1:3" hidden="1" x14ac:dyDescent="0.25">
      <c r="A339">
        <v>734</v>
      </c>
      <c r="B339" t="s">
        <v>6</v>
      </c>
      <c r="C339">
        <v>3</v>
      </c>
    </row>
    <row r="340" spans="1:3" hidden="1" x14ac:dyDescent="0.25">
      <c r="A340">
        <v>738</v>
      </c>
      <c r="B340" t="s">
        <v>4</v>
      </c>
      <c r="C340">
        <v>12</v>
      </c>
    </row>
  </sheetData>
  <autoFilter ref="A1:C340" xr:uid="{00000000-0001-0000-0000-000000000000}">
    <filterColumn colId="1">
      <filters>
        <filter val="pelicano adult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2836C-208C-4841-BF16-FF76F71E0713}">
  <dimension ref="A2:O14"/>
  <sheetViews>
    <sheetView tabSelected="1" workbookViewId="0">
      <selection activeCell="O7" sqref="O7"/>
    </sheetView>
  </sheetViews>
  <sheetFormatPr baseColWidth="10" defaultRowHeight="15" x14ac:dyDescent="0.25"/>
  <cols>
    <col min="2" max="2" width="14.7109375" bestFit="1" customWidth="1"/>
  </cols>
  <sheetData>
    <row r="2" spans="1:15" x14ac:dyDescent="0.25">
      <c r="A2" t="s">
        <v>0</v>
      </c>
      <c r="B2" t="s">
        <v>1</v>
      </c>
      <c r="C2" t="s">
        <v>2</v>
      </c>
    </row>
    <row r="3" spans="1:15" x14ac:dyDescent="0.25">
      <c r="A3">
        <v>440</v>
      </c>
      <c r="B3" t="s">
        <v>13</v>
      </c>
      <c r="C3">
        <v>1</v>
      </c>
    </row>
    <row r="4" spans="1:15" x14ac:dyDescent="0.25">
      <c r="A4">
        <v>450</v>
      </c>
      <c r="B4" t="s">
        <v>13</v>
      </c>
      <c r="C4">
        <v>3</v>
      </c>
      <c r="H4" t="s">
        <v>0</v>
      </c>
      <c r="I4" t="s">
        <v>39</v>
      </c>
      <c r="J4" t="s">
        <v>2</v>
      </c>
      <c r="K4" t="s">
        <v>35</v>
      </c>
      <c r="L4" t="s">
        <v>37</v>
      </c>
    </row>
    <row r="5" spans="1:15" x14ac:dyDescent="0.25">
      <c r="A5">
        <v>458</v>
      </c>
      <c r="B5" t="s">
        <v>13</v>
      </c>
      <c r="C5">
        <v>2</v>
      </c>
      <c r="H5">
        <v>440</v>
      </c>
      <c r="I5">
        <v>3</v>
      </c>
      <c r="J5">
        <v>1</v>
      </c>
      <c r="K5">
        <f>ABS(J5-I5)</f>
        <v>2</v>
      </c>
      <c r="L5">
        <f>2*K5/(I5+J5)</f>
        <v>1</v>
      </c>
      <c r="N5" t="s">
        <v>36</v>
      </c>
      <c r="O5">
        <f>AVERAGE(K5:K14)</f>
        <v>0.8</v>
      </c>
    </row>
    <row r="6" spans="1:15" x14ac:dyDescent="0.25">
      <c r="A6">
        <v>470</v>
      </c>
      <c r="B6" t="s">
        <v>13</v>
      </c>
      <c r="C6">
        <v>1</v>
      </c>
      <c r="H6">
        <v>450</v>
      </c>
      <c r="I6">
        <v>2</v>
      </c>
      <c r="J6">
        <v>3</v>
      </c>
      <c r="K6">
        <f t="shared" ref="K6:K14" si="0">ABS(J6-I6)</f>
        <v>1</v>
      </c>
      <c r="L6">
        <f t="shared" ref="L6:L14" si="1">2*K6/(I6+J6)</f>
        <v>0.4</v>
      </c>
      <c r="N6" t="s">
        <v>37</v>
      </c>
      <c r="O6">
        <f>AVERAGE(L5:L14)</f>
        <v>0.37333333333333329</v>
      </c>
    </row>
    <row r="7" spans="1:15" x14ac:dyDescent="0.25">
      <c r="A7">
        <v>473</v>
      </c>
      <c r="B7" t="s">
        <v>13</v>
      </c>
      <c r="C7">
        <v>2</v>
      </c>
      <c r="H7">
        <v>458</v>
      </c>
      <c r="I7">
        <v>4</v>
      </c>
      <c r="J7">
        <v>2</v>
      </c>
      <c r="K7">
        <f t="shared" si="0"/>
        <v>2</v>
      </c>
      <c r="L7">
        <f t="shared" si="1"/>
        <v>0.66666666666666663</v>
      </c>
    </row>
    <row r="8" spans="1:15" x14ac:dyDescent="0.25">
      <c r="A8">
        <v>490</v>
      </c>
      <c r="B8" t="s">
        <v>13</v>
      </c>
      <c r="C8">
        <v>3</v>
      </c>
      <c r="H8">
        <v>470</v>
      </c>
      <c r="I8">
        <v>1</v>
      </c>
      <c r="J8">
        <v>1</v>
      </c>
      <c r="K8">
        <f t="shared" si="0"/>
        <v>0</v>
      </c>
      <c r="L8">
        <f t="shared" si="1"/>
        <v>0</v>
      </c>
    </row>
    <row r="9" spans="1:15" x14ac:dyDescent="0.25">
      <c r="A9">
        <v>495</v>
      </c>
      <c r="B9" t="s">
        <v>13</v>
      </c>
      <c r="C9">
        <v>1</v>
      </c>
      <c r="H9">
        <v>473</v>
      </c>
      <c r="I9">
        <v>2</v>
      </c>
      <c r="J9">
        <v>2</v>
      </c>
      <c r="K9">
        <f t="shared" si="0"/>
        <v>0</v>
      </c>
      <c r="L9">
        <f t="shared" si="1"/>
        <v>0</v>
      </c>
    </row>
    <row r="10" spans="1:15" x14ac:dyDescent="0.25">
      <c r="A10">
        <v>499</v>
      </c>
      <c r="B10" t="s">
        <v>13</v>
      </c>
      <c r="C10">
        <v>1</v>
      </c>
      <c r="H10">
        <v>490</v>
      </c>
      <c r="I10">
        <v>1</v>
      </c>
      <c r="J10">
        <v>3</v>
      </c>
      <c r="K10">
        <f t="shared" si="0"/>
        <v>2</v>
      </c>
      <c r="L10">
        <f t="shared" si="1"/>
        <v>1</v>
      </c>
    </row>
    <row r="11" spans="1:15" x14ac:dyDescent="0.25">
      <c r="A11">
        <v>506</v>
      </c>
      <c r="B11" t="s">
        <v>13</v>
      </c>
      <c r="C11">
        <v>1</v>
      </c>
      <c r="H11">
        <v>495</v>
      </c>
      <c r="I11">
        <v>1</v>
      </c>
      <c r="J11">
        <v>1</v>
      </c>
      <c r="K11">
        <f t="shared" si="0"/>
        <v>0</v>
      </c>
      <c r="L11">
        <f t="shared" si="1"/>
        <v>0</v>
      </c>
    </row>
    <row r="12" spans="1:15" x14ac:dyDescent="0.25">
      <c r="A12">
        <v>512</v>
      </c>
      <c r="B12" t="s">
        <v>13</v>
      </c>
      <c r="C12">
        <v>2</v>
      </c>
      <c r="H12">
        <v>499</v>
      </c>
      <c r="I12">
        <v>1</v>
      </c>
      <c r="J12">
        <v>1</v>
      </c>
      <c r="K12">
        <f t="shared" si="0"/>
        <v>0</v>
      </c>
      <c r="L12">
        <f t="shared" si="1"/>
        <v>0</v>
      </c>
    </row>
    <row r="13" spans="1:15" x14ac:dyDescent="0.25">
      <c r="H13">
        <v>506</v>
      </c>
      <c r="I13">
        <v>2</v>
      </c>
      <c r="J13">
        <v>1</v>
      </c>
      <c r="K13">
        <f t="shared" si="0"/>
        <v>1</v>
      </c>
      <c r="L13">
        <f t="shared" si="1"/>
        <v>0.66666666666666663</v>
      </c>
    </row>
    <row r="14" spans="1:15" x14ac:dyDescent="0.25">
      <c r="H14">
        <v>512</v>
      </c>
      <c r="I14">
        <v>2</v>
      </c>
      <c r="J14">
        <v>2</v>
      </c>
      <c r="K14">
        <f t="shared" si="0"/>
        <v>0</v>
      </c>
      <c r="L14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88FF5-14C0-4877-9D69-C3B7D3F810DD}">
  <dimension ref="E6:I16"/>
  <sheetViews>
    <sheetView workbookViewId="0">
      <selection activeCell="E6" sqref="E6:I16"/>
    </sheetView>
  </sheetViews>
  <sheetFormatPr baseColWidth="10" defaultRowHeight="15" x14ac:dyDescent="0.25"/>
  <sheetData>
    <row r="6" spans="5:9" x14ac:dyDescent="0.25">
      <c r="E6" t="s">
        <v>0</v>
      </c>
      <c r="F6" t="s">
        <v>39</v>
      </c>
      <c r="G6" t="s">
        <v>2</v>
      </c>
      <c r="H6" t="s">
        <v>35</v>
      </c>
      <c r="I6" t="s">
        <v>37</v>
      </c>
    </row>
    <row r="7" spans="5:9" x14ac:dyDescent="0.25">
      <c r="E7">
        <v>440</v>
      </c>
      <c r="F7">
        <v>3</v>
      </c>
      <c r="G7">
        <v>1</v>
      </c>
    </row>
    <row r="8" spans="5:9" x14ac:dyDescent="0.25">
      <c r="E8">
        <v>450</v>
      </c>
      <c r="F8">
        <v>2</v>
      </c>
      <c r="G8">
        <v>3</v>
      </c>
    </row>
    <row r="9" spans="5:9" x14ac:dyDescent="0.25">
      <c r="E9">
        <v>458</v>
      </c>
      <c r="F9">
        <v>4</v>
      </c>
      <c r="G9">
        <v>2</v>
      </c>
    </row>
    <row r="10" spans="5:9" x14ac:dyDescent="0.25">
      <c r="E10">
        <v>470</v>
      </c>
      <c r="F10">
        <v>1</v>
      </c>
      <c r="G10">
        <v>1</v>
      </c>
    </row>
    <row r="11" spans="5:9" x14ac:dyDescent="0.25">
      <c r="E11">
        <v>473</v>
      </c>
      <c r="F11">
        <v>2</v>
      </c>
      <c r="G11">
        <v>2</v>
      </c>
    </row>
    <row r="12" spans="5:9" x14ac:dyDescent="0.25">
      <c r="E12">
        <v>490</v>
      </c>
      <c r="F12">
        <v>1</v>
      </c>
      <c r="G12">
        <v>3</v>
      </c>
    </row>
    <row r="13" spans="5:9" x14ac:dyDescent="0.25">
      <c r="E13">
        <v>495</v>
      </c>
      <c r="F13">
        <v>1</v>
      </c>
      <c r="G13">
        <v>1</v>
      </c>
    </row>
    <row r="14" spans="5:9" x14ac:dyDescent="0.25">
      <c r="E14">
        <v>499</v>
      </c>
      <c r="F14">
        <v>1</v>
      </c>
      <c r="G14">
        <v>1</v>
      </c>
    </row>
    <row r="15" spans="5:9" x14ac:dyDescent="0.25">
      <c r="E15">
        <v>506</v>
      </c>
      <c r="F15">
        <v>2</v>
      </c>
      <c r="G15">
        <v>1</v>
      </c>
    </row>
    <row r="16" spans="5:9" x14ac:dyDescent="0.25">
      <c r="E16">
        <v>512</v>
      </c>
      <c r="F16">
        <v>2</v>
      </c>
      <c r="G16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5A8CF-8A50-46D8-BAB9-DD5F61204A38}">
  <dimension ref="A1:O178"/>
  <sheetViews>
    <sheetView topLeftCell="C86" zoomScale="115" zoomScaleNormal="115" workbookViewId="0">
      <selection activeCell="J88" sqref="J88"/>
    </sheetView>
  </sheetViews>
  <sheetFormatPr baseColWidth="10" defaultRowHeight="15" x14ac:dyDescent="0.25"/>
  <cols>
    <col min="2" max="2" width="14.140625" bestFit="1" customWidth="1"/>
  </cols>
  <sheetData>
    <row r="1" spans="1:15" x14ac:dyDescent="0.25">
      <c r="A1" t="s">
        <v>0</v>
      </c>
      <c r="B1" t="s">
        <v>1</v>
      </c>
      <c r="C1" t="s">
        <v>2</v>
      </c>
    </row>
    <row r="2" spans="1:15" x14ac:dyDescent="0.25">
      <c r="A2">
        <v>384</v>
      </c>
      <c r="B2" t="s">
        <v>6</v>
      </c>
      <c r="C2">
        <v>15</v>
      </c>
      <c r="G2" t="s">
        <v>38</v>
      </c>
    </row>
    <row r="3" spans="1:15" x14ac:dyDescent="0.25">
      <c r="A3">
        <v>397</v>
      </c>
      <c r="B3" t="s">
        <v>6</v>
      </c>
      <c r="C3">
        <v>6</v>
      </c>
      <c r="H3" t="s">
        <v>0</v>
      </c>
      <c r="I3" t="s">
        <v>31</v>
      </c>
      <c r="J3" t="s">
        <v>2</v>
      </c>
      <c r="K3" t="s">
        <v>32</v>
      </c>
      <c r="L3" s="3" t="s">
        <v>19</v>
      </c>
    </row>
    <row r="4" spans="1:15" x14ac:dyDescent="0.25">
      <c r="A4">
        <v>402</v>
      </c>
      <c r="B4" t="s">
        <v>6</v>
      </c>
      <c r="C4">
        <v>2</v>
      </c>
      <c r="H4">
        <v>384</v>
      </c>
      <c r="I4">
        <v>7</v>
      </c>
      <c r="J4">
        <f t="shared" ref="J4:J35" si="0">VLOOKUP(H4,$A$1:$C$87,3,FALSE)</f>
        <v>15</v>
      </c>
      <c r="K4">
        <f>ABS(J4-I4)</f>
        <v>8</v>
      </c>
      <c r="L4">
        <f>2*(K4/(I4+J4))</f>
        <v>0.72727272727272729</v>
      </c>
    </row>
    <row r="5" spans="1:15" x14ac:dyDescent="0.25">
      <c r="A5">
        <v>405</v>
      </c>
      <c r="B5" t="s">
        <v>6</v>
      </c>
      <c r="C5">
        <v>9</v>
      </c>
      <c r="H5">
        <v>397</v>
      </c>
      <c r="I5">
        <v>1</v>
      </c>
      <c r="J5">
        <f t="shared" si="0"/>
        <v>6</v>
      </c>
      <c r="K5">
        <f t="shared" ref="K5:K68" si="1">ABS(J5-I5)</f>
        <v>5</v>
      </c>
      <c r="L5">
        <f t="shared" ref="L5:L68" si="2">2*(K5/(I5+J5))</f>
        <v>1.4285714285714286</v>
      </c>
      <c r="N5" t="s">
        <v>18</v>
      </c>
      <c r="O5">
        <f>AVERAGE(K4:K89)</f>
        <v>2.0465116279069768</v>
      </c>
    </row>
    <row r="6" spans="1:15" x14ac:dyDescent="0.25">
      <c r="A6">
        <v>408</v>
      </c>
      <c r="B6" t="s">
        <v>6</v>
      </c>
      <c r="C6">
        <v>3</v>
      </c>
      <c r="H6">
        <v>402</v>
      </c>
      <c r="I6">
        <v>0</v>
      </c>
      <c r="J6">
        <f t="shared" si="0"/>
        <v>2</v>
      </c>
      <c r="K6">
        <f t="shared" si="1"/>
        <v>2</v>
      </c>
      <c r="L6">
        <f t="shared" si="2"/>
        <v>2</v>
      </c>
      <c r="N6" t="s">
        <v>25</v>
      </c>
      <c r="O6">
        <f>AVERAGE(L4:L89)</f>
        <v>0.31391042110610462</v>
      </c>
    </row>
    <row r="7" spans="1:15" x14ac:dyDescent="0.25">
      <c r="A7">
        <v>416</v>
      </c>
      <c r="B7" t="s">
        <v>6</v>
      </c>
      <c r="C7">
        <v>3</v>
      </c>
      <c r="H7">
        <v>405</v>
      </c>
      <c r="I7">
        <v>4</v>
      </c>
      <c r="J7">
        <f t="shared" si="0"/>
        <v>9</v>
      </c>
      <c r="K7">
        <f t="shared" si="1"/>
        <v>5</v>
      </c>
      <c r="L7">
        <f t="shared" si="2"/>
        <v>0.76923076923076927</v>
      </c>
    </row>
    <row r="8" spans="1:15" x14ac:dyDescent="0.25">
      <c r="A8">
        <v>419</v>
      </c>
      <c r="B8" t="s">
        <v>6</v>
      </c>
      <c r="C8">
        <v>13</v>
      </c>
      <c r="H8">
        <v>408</v>
      </c>
      <c r="I8">
        <v>2</v>
      </c>
      <c r="J8">
        <f t="shared" si="0"/>
        <v>3</v>
      </c>
      <c r="K8">
        <f t="shared" si="1"/>
        <v>1</v>
      </c>
      <c r="L8">
        <f t="shared" si="2"/>
        <v>0.4</v>
      </c>
    </row>
    <row r="9" spans="1:15" x14ac:dyDescent="0.25">
      <c r="A9">
        <v>425</v>
      </c>
      <c r="B9" t="s">
        <v>6</v>
      </c>
      <c r="C9">
        <v>1</v>
      </c>
      <c r="H9">
        <v>416</v>
      </c>
      <c r="I9">
        <v>3</v>
      </c>
      <c r="J9">
        <f t="shared" si="0"/>
        <v>3</v>
      </c>
      <c r="K9">
        <f t="shared" si="1"/>
        <v>0</v>
      </c>
      <c r="L9">
        <f t="shared" si="2"/>
        <v>0</v>
      </c>
    </row>
    <row r="10" spans="1:15" x14ac:dyDescent="0.25">
      <c r="A10">
        <v>428</v>
      </c>
      <c r="B10" t="s">
        <v>6</v>
      </c>
      <c r="C10">
        <v>9</v>
      </c>
      <c r="H10">
        <v>419</v>
      </c>
      <c r="I10">
        <v>5</v>
      </c>
      <c r="J10">
        <f t="shared" si="0"/>
        <v>13</v>
      </c>
      <c r="K10">
        <f t="shared" si="1"/>
        <v>8</v>
      </c>
      <c r="L10">
        <f t="shared" si="2"/>
        <v>0.88888888888888884</v>
      </c>
    </row>
    <row r="11" spans="1:15" x14ac:dyDescent="0.25">
      <c r="A11">
        <v>431</v>
      </c>
      <c r="B11" t="s">
        <v>6</v>
      </c>
      <c r="C11">
        <v>3</v>
      </c>
      <c r="H11">
        <v>425</v>
      </c>
      <c r="I11">
        <v>1</v>
      </c>
      <c r="J11">
        <f t="shared" si="0"/>
        <v>1</v>
      </c>
      <c r="K11">
        <f t="shared" si="1"/>
        <v>0</v>
      </c>
      <c r="L11">
        <f t="shared" si="2"/>
        <v>0</v>
      </c>
      <c r="N11">
        <f>COUNTA(K4:K89)</f>
        <v>86</v>
      </c>
    </row>
    <row r="12" spans="1:15" x14ac:dyDescent="0.25">
      <c r="A12">
        <v>433</v>
      </c>
      <c r="B12" t="s">
        <v>6</v>
      </c>
      <c r="C12">
        <v>1</v>
      </c>
      <c r="H12">
        <v>428</v>
      </c>
      <c r="I12">
        <v>7</v>
      </c>
      <c r="J12">
        <f t="shared" si="0"/>
        <v>9</v>
      </c>
      <c r="K12">
        <f t="shared" si="1"/>
        <v>2</v>
      </c>
      <c r="L12">
        <f t="shared" si="2"/>
        <v>0.25</v>
      </c>
    </row>
    <row r="13" spans="1:15" x14ac:dyDescent="0.25">
      <c r="A13">
        <v>436</v>
      </c>
      <c r="B13" t="s">
        <v>6</v>
      </c>
      <c r="C13">
        <v>10</v>
      </c>
      <c r="H13">
        <v>431</v>
      </c>
      <c r="I13">
        <v>7</v>
      </c>
      <c r="J13">
        <f t="shared" si="0"/>
        <v>3</v>
      </c>
      <c r="K13">
        <f t="shared" si="1"/>
        <v>4</v>
      </c>
      <c r="L13">
        <f t="shared" si="2"/>
        <v>0.8</v>
      </c>
    </row>
    <row r="14" spans="1:15" x14ac:dyDescent="0.25">
      <c r="A14">
        <v>443</v>
      </c>
      <c r="B14" t="s">
        <v>6</v>
      </c>
      <c r="C14">
        <v>10</v>
      </c>
      <c r="H14">
        <v>433</v>
      </c>
      <c r="I14">
        <v>1</v>
      </c>
      <c r="J14">
        <f t="shared" si="0"/>
        <v>1</v>
      </c>
      <c r="K14">
        <f t="shared" si="1"/>
        <v>0</v>
      </c>
      <c r="L14">
        <f t="shared" si="2"/>
        <v>0</v>
      </c>
    </row>
    <row r="15" spans="1:15" x14ac:dyDescent="0.25">
      <c r="A15">
        <v>446</v>
      </c>
      <c r="B15" t="s">
        <v>6</v>
      </c>
      <c r="C15">
        <v>2</v>
      </c>
      <c r="H15">
        <v>436</v>
      </c>
      <c r="I15">
        <v>13</v>
      </c>
      <c r="J15">
        <f t="shared" si="0"/>
        <v>10</v>
      </c>
      <c r="K15">
        <f t="shared" si="1"/>
        <v>3</v>
      </c>
      <c r="L15">
        <f t="shared" si="2"/>
        <v>0.2608695652173913</v>
      </c>
    </row>
    <row r="16" spans="1:15" x14ac:dyDescent="0.25">
      <c r="A16">
        <v>450</v>
      </c>
      <c r="B16" t="s">
        <v>6</v>
      </c>
      <c r="C16">
        <v>10</v>
      </c>
      <c r="H16">
        <v>443</v>
      </c>
      <c r="I16">
        <v>18</v>
      </c>
      <c r="J16">
        <f t="shared" si="0"/>
        <v>10</v>
      </c>
      <c r="K16">
        <f t="shared" si="1"/>
        <v>8</v>
      </c>
      <c r="L16">
        <f t="shared" si="2"/>
        <v>0.5714285714285714</v>
      </c>
    </row>
    <row r="17" spans="1:12" x14ac:dyDescent="0.25">
      <c r="A17">
        <v>453</v>
      </c>
      <c r="B17" t="s">
        <v>6</v>
      </c>
      <c r="C17">
        <v>8</v>
      </c>
      <c r="H17">
        <v>446</v>
      </c>
      <c r="I17">
        <v>2</v>
      </c>
      <c r="J17">
        <f t="shared" si="0"/>
        <v>2</v>
      </c>
      <c r="K17">
        <f t="shared" si="1"/>
        <v>0</v>
      </c>
      <c r="L17">
        <f t="shared" si="2"/>
        <v>0</v>
      </c>
    </row>
    <row r="18" spans="1:12" x14ac:dyDescent="0.25">
      <c r="A18">
        <v>455</v>
      </c>
      <c r="B18" t="s">
        <v>6</v>
      </c>
      <c r="C18">
        <v>10</v>
      </c>
      <c r="H18">
        <v>450</v>
      </c>
      <c r="I18">
        <v>5</v>
      </c>
      <c r="J18">
        <f t="shared" si="0"/>
        <v>10</v>
      </c>
      <c r="K18">
        <f t="shared" si="1"/>
        <v>5</v>
      </c>
      <c r="L18">
        <f t="shared" si="2"/>
        <v>0.66666666666666663</v>
      </c>
    </row>
    <row r="19" spans="1:12" x14ac:dyDescent="0.25">
      <c r="A19">
        <v>458</v>
      </c>
      <c r="B19" t="s">
        <v>6</v>
      </c>
      <c r="C19">
        <v>3</v>
      </c>
      <c r="H19">
        <v>453</v>
      </c>
      <c r="I19">
        <v>8</v>
      </c>
      <c r="J19">
        <f t="shared" si="0"/>
        <v>8</v>
      </c>
      <c r="K19">
        <f t="shared" si="1"/>
        <v>0</v>
      </c>
      <c r="L19">
        <f t="shared" si="2"/>
        <v>0</v>
      </c>
    </row>
    <row r="20" spans="1:12" x14ac:dyDescent="0.25">
      <c r="A20">
        <v>466</v>
      </c>
      <c r="B20" t="s">
        <v>6</v>
      </c>
      <c r="C20">
        <v>16</v>
      </c>
      <c r="H20">
        <v>455</v>
      </c>
      <c r="I20">
        <v>4</v>
      </c>
      <c r="J20">
        <f t="shared" si="0"/>
        <v>10</v>
      </c>
      <c r="K20">
        <f t="shared" si="1"/>
        <v>6</v>
      </c>
      <c r="L20">
        <f t="shared" si="2"/>
        <v>0.8571428571428571</v>
      </c>
    </row>
    <row r="21" spans="1:12" x14ac:dyDescent="0.25">
      <c r="A21">
        <v>470</v>
      </c>
      <c r="B21" t="s">
        <v>6</v>
      </c>
      <c r="C21">
        <v>1</v>
      </c>
      <c r="H21">
        <v>458</v>
      </c>
      <c r="I21">
        <v>5</v>
      </c>
      <c r="J21">
        <f t="shared" si="0"/>
        <v>3</v>
      </c>
      <c r="K21">
        <f t="shared" si="1"/>
        <v>2</v>
      </c>
      <c r="L21">
        <f t="shared" si="2"/>
        <v>0.5</v>
      </c>
    </row>
    <row r="22" spans="1:12" x14ac:dyDescent="0.25">
      <c r="A22">
        <v>473</v>
      </c>
      <c r="B22" t="s">
        <v>6</v>
      </c>
      <c r="C22">
        <v>1</v>
      </c>
      <c r="H22">
        <v>466</v>
      </c>
      <c r="I22">
        <v>6</v>
      </c>
      <c r="J22">
        <f t="shared" si="0"/>
        <v>16</v>
      </c>
      <c r="K22">
        <f t="shared" si="1"/>
        <v>10</v>
      </c>
      <c r="L22">
        <f t="shared" si="2"/>
        <v>0.90909090909090906</v>
      </c>
    </row>
    <row r="23" spans="1:12" x14ac:dyDescent="0.25">
      <c r="A23">
        <v>475</v>
      </c>
      <c r="B23" t="s">
        <v>6</v>
      </c>
      <c r="C23">
        <v>1</v>
      </c>
      <c r="H23">
        <v>470</v>
      </c>
      <c r="I23">
        <v>2</v>
      </c>
      <c r="J23">
        <f t="shared" si="0"/>
        <v>1</v>
      </c>
      <c r="K23">
        <f t="shared" si="1"/>
        <v>1</v>
      </c>
      <c r="L23">
        <f t="shared" si="2"/>
        <v>0.66666666666666663</v>
      </c>
    </row>
    <row r="24" spans="1:12" x14ac:dyDescent="0.25">
      <c r="A24">
        <v>478</v>
      </c>
      <c r="B24" t="s">
        <v>6</v>
      </c>
      <c r="C24">
        <v>15</v>
      </c>
      <c r="H24">
        <v>473</v>
      </c>
      <c r="I24">
        <v>2</v>
      </c>
      <c r="J24">
        <f t="shared" si="0"/>
        <v>1</v>
      </c>
      <c r="K24">
        <f t="shared" si="1"/>
        <v>1</v>
      </c>
      <c r="L24">
        <f t="shared" si="2"/>
        <v>0.66666666666666663</v>
      </c>
    </row>
    <row r="25" spans="1:12" x14ac:dyDescent="0.25">
      <c r="A25">
        <v>481</v>
      </c>
      <c r="B25" t="s">
        <v>6</v>
      </c>
      <c r="C25">
        <v>2</v>
      </c>
      <c r="H25">
        <v>475</v>
      </c>
      <c r="I25">
        <v>2</v>
      </c>
      <c r="J25">
        <f t="shared" si="0"/>
        <v>1</v>
      </c>
      <c r="K25">
        <f t="shared" si="1"/>
        <v>1</v>
      </c>
      <c r="L25">
        <f t="shared" si="2"/>
        <v>0.66666666666666663</v>
      </c>
    </row>
    <row r="26" spans="1:12" x14ac:dyDescent="0.25">
      <c r="A26">
        <v>484</v>
      </c>
      <c r="B26" t="s">
        <v>6</v>
      </c>
      <c r="C26">
        <v>47</v>
      </c>
      <c r="H26">
        <v>478</v>
      </c>
      <c r="I26">
        <v>13</v>
      </c>
      <c r="J26">
        <f t="shared" si="0"/>
        <v>15</v>
      </c>
      <c r="K26">
        <f t="shared" si="1"/>
        <v>2</v>
      </c>
      <c r="L26">
        <f t="shared" si="2"/>
        <v>0.14285714285714285</v>
      </c>
    </row>
    <row r="27" spans="1:12" x14ac:dyDescent="0.25">
      <c r="A27">
        <v>487</v>
      </c>
      <c r="B27" t="s">
        <v>6</v>
      </c>
      <c r="C27">
        <v>9</v>
      </c>
      <c r="H27">
        <v>481</v>
      </c>
      <c r="I27">
        <v>5</v>
      </c>
      <c r="J27">
        <f t="shared" si="0"/>
        <v>2</v>
      </c>
      <c r="K27">
        <f t="shared" si="1"/>
        <v>3</v>
      </c>
      <c r="L27">
        <f t="shared" si="2"/>
        <v>0.8571428571428571</v>
      </c>
    </row>
    <row r="28" spans="1:12" x14ac:dyDescent="0.25">
      <c r="A28">
        <v>490</v>
      </c>
      <c r="B28" t="s">
        <v>6</v>
      </c>
      <c r="C28">
        <v>2</v>
      </c>
      <c r="H28">
        <v>484</v>
      </c>
      <c r="I28">
        <v>37</v>
      </c>
      <c r="J28">
        <f t="shared" si="0"/>
        <v>47</v>
      </c>
      <c r="K28">
        <f t="shared" si="1"/>
        <v>10</v>
      </c>
      <c r="L28">
        <f t="shared" si="2"/>
        <v>0.23809523809523808</v>
      </c>
    </row>
    <row r="29" spans="1:12" x14ac:dyDescent="0.25">
      <c r="A29">
        <v>495</v>
      </c>
      <c r="B29" t="s">
        <v>6</v>
      </c>
      <c r="C29">
        <v>18</v>
      </c>
      <c r="H29">
        <v>487</v>
      </c>
      <c r="I29">
        <v>6</v>
      </c>
      <c r="J29">
        <f t="shared" si="0"/>
        <v>9</v>
      </c>
      <c r="K29">
        <f t="shared" si="1"/>
        <v>3</v>
      </c>
      <c r="L29">
        <f t="shared" si="2"/>
        <v>0.4</v>
      </c>
    </row>
    <row r="30" spans="1:12" x14ac:dyDescent="0.25">
      <c r="A30">
        <v>499</v>
      </c>
      <c r="B30" t="s">
        <v>6</v>
      </c>
      <c r="C30">
        <v>9</v>
      </c>
      <c r="H30">
        <v>490</v>
      </c>
      <c r="I30">
        <v>2</v>
      </c>
      <c r="J30">
        <f t="shared" si="0"/>
        <v>2</v>
      </c>
      <c r="K30">
        <f t="shared" si="1"/>
        <v>0</v>
      </c>
      <c r="L30">
        <f t="shared" si="2"/>
        <v>0</v>
      </c>
    </row>
    <row r="31" spans="1:12" x14ac:dyDescent="0.25">
      <c r="A31">
        <v>506</v>
      </c>
      <c r="B31" t="s">
        <v>6</v>
      </c>
      <c r="C31">
        <v>23</v>
      </c>
      <c r="H31">
        <v>495</v>
      </c>
      <c r="I31">
        <v>15</v>
      </c>
      <c r="J31">
        <f t="shared" si="0"/>
        <v>18</v>
      </c>
      <c r="K31">
        <f t="shared" si="1"/>
        <v>3</v>
      </c>
      <c r="L31">
        <f t="shared" si="2"/>
        <v>0.18181818181818182</v>
      </c>
    </row>
    <row r="32" spans="1:12" x14ac:dyDescent="0.25">
      <c r="A32">
        <v>509</v>
      </c>
      <c r="B32" t="s">
        <v>6</v>
      </c>
      <c r="C32">
        <v>8</v>
      </c>
      <c r="H32">
        <v>499</v>
      </c>
      <c r="I32">
        <v>0</v>
      </c>
      <c r="J32">
        <f t="shared" si="0"/>
        <v>9</v>
      </c>
      <c r="K32">
        <f t="shared" si="1"/>
        <v>9</v>
      </c>
      <c r="L32">
        <f t="shared" si="2"/>
        <v>2</v>
      </c>
    </row>
    <row r="33" spans="1:12" x14ac:dyDescent="0.25">
      <c r="A33">
        <v>512</v>
      </c>
      <c r="B33" t="s">
        <v>6</v>
      </c>
      <c r="C33">
        <v>48</v>
      </c>
      <c r="H33">
        <v>506</v>
      </c>
      <c r="I33">
        <v>23</v>
      </c>
      <c r="J33">
        <f t="shared" si="0"/>
        <v>23</v>
      </c>
      <c r="K33">
        <f t="shared" si="1"/>
        <v>0</v>
      </c>
      <c r="L33">
        <f t="shared" si="2"/>
        <v>0</v>
      </c>
    </row>
    <row r="34" spans="1:12" x14ac:dyDescent="0.25">
      <c r="A34">
        <v>515</v>
      </c>
      <c r="B34" t="s">
        <v>6</v>
      </c>
      <c r="C34">
        <v>4</v>
      </c>
      <c r="H34">
        <v>509</v>
      </c>
      <c r="I34">
        <v>6</v>
      </c>
      <c r="J34">
        <f t="shared" si="0"/>
        <v>8</v>
      </c>
      <c r="K34">
        <f t="shared" si="1"/>
        <v>2</v>
      </c>
      <c r="L34">
        <f t="shared" si="2"/>
        <v>0.2857142857142857</v>
      </c>
    </row>
    <row r="35" spans="1:12" x14ac:dyDescent="0.25">
      <c r="A35">
        <v>518</v>
      </c>
      <c r="B35" t="s">
        <v>6</v>
      </c>
      <c r="C35">
        <v>2</v>
      </c>
      <c r="H35">
        <v>512</v>
      </c>
      <c r="I35">
        <v>29</v>
      </c>
      <c r="J35">
        <f t="shared" si="0"/>
        <v>48</v>
      </c>
      <c r="K35">
        <f t="shared" si="1"/>
        <v>19</v>
      </c>
      <c r="L35">
        <f t="shared" si="2"/>
        <v>0.4935064935064935</v>
      </c>
    </row>
    <row r="36" spans="1:12" x14ac:dyDescent="0.25">
      <c r="A36">
        <v>529</v>
      </c>
      <c r="B36" t="s">
        <v>6</v>
      </c>
      <c r="C36">
        <v>3</v>
      </c>
      <c r="H36">
        <v>515</v>
      </c>
      <c r="I36">
        <v>2</v>
      </c>
      <c r="J36">
        <f t="shared" ref="J36:J67" si="3">VLOOKUP(H36,$A$1:$C$87,3,FALSE)</f>
        <v>4</v>
      </c>
      <c r="K36">
        <f t="shared" si="1"/>
        <v>2</v>
      </c>
      <c r="L36">
        <f t="shared" si="2"/>
        <v>0.66666666666666663</v>
      </c>
    </row>
    <row r="37" spans="1:12" x14ac:dyDescent="0.25">
      <c r="A37">
        <v>547</v>
      </c>
      <c r="B37" t="s">
        <v>6</v>
      </c>
      <c r="C37">
        <v>1</v>
      </c>
      <c r="H37">
        <v>518</v>
      </c>
      <c r="I37">
        <v>4</v>
      </c>
      <c r="J37">
        <f t="shared" si="3"/>
        <v>2</v>
      </c>
      <c r="K37">
        <f t="shared" si="1"/>
        <v>2</v>
      </c>
      <c r="L37">
        <f t="shared" si="2"/>
        <v>0.66666666666666663</v>
      </c>
    </row>
    <row r="38" spans="1:12" x14ac:dyDescent="0.25">
      <c r="A38">
        <v>550</v>
      </c>
      <c r="B38" t="s">
        <v>6</v>
      </c>
      <c r="C38">
        <v>5</v>
      </c>
      <c r="H38">
        <v>529</v>
      </c>
      <c r="I38">
        <v>2</v>
      </c>
      <c r="J38">
        <f t="shared" si="3"/>
        <v>3</v>
      </c>
      <c r="K38">
        <f t="shared" si="1"/>
        <v>1</v>
      </c>
      <c r="L38">
        <f t="shared" si="2"/>
        <v>0.4</v>
      </c>
    </row>
    <row r="39" spans="1:12" x14ac:dyDescent="0.25">
      <c r="A39">
        <v>553</v>
      </c>
      <c r="B39" t="s">
        <v>6</v>
      </c>
      <c r="C39">
        <v>6</v>
      </c>
      <c r="H39">
        <v>547</v>
      </c>
      <c r="I39">
        <v>1</v>
      </c>
      <c r="J39">
        <f t="shared" si="3"/>
        <v>1</v>
      </c>
      <c r="K39">
        <f t="shared" si="1"/>
        <v>0</v>
      </c>
      <c r="L39">
        <f t="shared" si="2"/>
        <v>0</v>
      </c>
    </row>
    <row r="40" spans="1:12" x14ac:dyDescent="0.25">
      <c r="A40">
        <v>556</v>
      </c>
      <c r="B40" t="s">
        <v>6</v>
      </c>
      <c r="C40">
        <v>3</v>
      </c>
      <c r="H40">
        <v>550</v>
      </c>
      <c r="I40">
        <v>5</v>
      </c>
      <c r="J40">
        <f t="shared" si="3"/>
        <v>5</v>
      </c>
      <c r="K40">
        <f t="shared" si="1"/>
        <v>0</v>
      </c>
      <c r="L40">
        <f t="shared" si="2"/>
        <v>0</v>
      </c>
    </row>
    <row r="41" spans="1:12" x14ac:dyDescent="0.25">
      <c r="A41">
        <v>561</v>
      </c>
      <c r="B41" t="s">
        <v>6</v>
      </c>
      <c r="C41">
        <v>1</v>
      </c>
      <c r="H41">
        <v>553</v>
      </c>
      <c r="I41">
        <v>6</v>
      </c>
      <c r="J41">
        <f t="shared" si="3"/>
        <v>6</v>
      </c>
      <c r="K41">
        <f t="shared" si="1"/>
        <v>0</v>
      </c>
      <c r="L41">
        <f t="shared" si="2"/>
        <v>0</v>
      </c>
    </row>
    <row r="42" spans="1:12" x14ac:dyDescent="0.25">
      <c r="A42">
        <v>564</v>
      </c>
      <c r="B42" t="s">
        <v>6</v>
      </c>
      <c r="C42">
        <v>3</v>
      </c>
      <c r="H42">
        <v>556</v>
      </c>
      <c r="I42">
        <v>3</v>
      </c>
      <c r="J42">
        <f t="shared" si="3"/>
        <v>3</v>
      </c>
      <c r="K42">
        <f t="shared" si="1"/>
        <v>0</v>
      </c>
      <c r="L42">
        <f t="shared" si="2"/>
        <v>0</v>
      </c>
    </row>
    <row r="43" spans="1:12" x14ac:dyDescent="0.25">
      <c r="A43">
        <v>567</v>
      </c>
      <c r="B43" t="s">
        <v>6</v>
      </c>
      <c r="C43">
        <v>9</v>
      </c>
      <c r="H43">
        <v>561</v>
      </c>
      <c r="I43">
        <v>2</v>
      </c>
      <c r="J43">
        <f t="shared" si="3"/>
        <v>1</v>
      </c>
      <c r="K43">
        <f t="shared" si="1"/>
        <v>1</v>
      </c>
      <c r="L43">
        <f t="shared" si="2"/>
        <v>0.66666666666666663</v>
      </c>
    </row>
    <row r="44" spans="1:12" x14ac:dyDescent="0.25">
      <c r="A44">
        <v>569</v>
      </c>
      <c r="B44" t="s">
        <v>6</v>
      </c>
      <c r="C44">
        <v>8</v>
      </c>
      <c r="H44">
        <v>564</v>
      </c>
      <c r="I44">
        <v>3</v>
      </c>
      <c r="J44">
        <f t="shared" si="3"/>
        <v>3</v>
      </c>
      <c r="K44">
        <f t="shared" si="1"/>
        <v>0</v>
      </c>
      <c r="L44">
        <f t="shared" si="2"/>
        <v>0</v>
      </c>
    </row>
    <row r="45" spans="1:12" x14ac:dyDescent="0.25">
      <c r="A45">
        <v>572</v>
      </c>
      <c r="B45" t="s">
        <v>6</v>
      </c>
      <c r="C45">
        <v>7</v>
      </c>
      <c r="H45">
        <v>567</v>
      </c>
      <c r="I45">
        <v>9</v>
      </c>
      <c r="J45">
        <f t="shared" si="3"/>
        <v>9</v>
      </c>
      <c r="K45">
        <f t="shared" si="1"/>
        <v>0</v>
      </c>
      <c r="L45">
        <f t="shared" si="2"/>
        <v>0</v>
      </c>
    </row>
    <row r="46" spans="1:12" x14ac:dyDescent="0.25">
      <c r="A46">
        <v>574</v>
      </c>
      <c r="B46" t="s">
        <v>6</v>
      </c>
      <c r="C46">
        <v>28</v>
      </c>
      <c r="H46">
        <v>569</v>
      </c>
      <c r="I46">
        <v>6</v>
      </c>
      <c r="J46">
        <f t="shared" si="3"/>
        <v>8</v>
      </c>
      <c r="K46">
        <f t="shared" si="1"/>
        <v>2</v>
      </c>
      <c r="L46">
        <f t="shared" si="2"/>
        <v>0.2857142857142857</v>
      </c>
    </row>
    <row r="47" spans="1:12" x14ac:dyDescent="0.25">
      <c r="A47">
        <v>576</v>
      </c>
      <c r="B47" t="s">
        <v>6</v>
      </c>
      <c r="C47">
        <v>15</v>
      </c>
      <c r="H47">
        <v>572</v>
      </c>
      <c r="I47">
        <v>7</v>
      </c>
      <c r="J47">
        <f t="shared" si="3"/>
        <v>7</v>
      </c>
      <c r="K47">
        <f t="shared" si="1"/>
        <v>0</v>
      </c>
      <c r="L47">
        <f t="shared" si="2"/>
        <v>0</v>
      </c>
    </row>
    <row r="48" spans="1:12" x14ac:dyDescent="0.25">
      <c r="A48">
        <v>577</v>
      </c>
      <c r="B48" t="s">
        <v>6</v>
      </c>
      <c r="C48">
        <v>12</v>
      </c>
      <c r="H48">
        <v>574</v>
      </c>
      <c r="I48">
        <v>27</v>
      </c>
      <c r="J48">
        <f t="shared" si="3"/>
        <v>28</v>
      </c>
      <c r="K48">
        <f t="shared" si="1"/>
        <v>1</v>
      </c>
      <c r="L48">
        <f t="shared" si="2"/>
        <v>3.6363636363636362E-2</v>
      </c>
    </row>
    <row r="49" spans="1:12" x14ac:dyDescent="0.25">
      <c r="A49">
        <v>580</v>
      </c>
      <c r="B49" t="s">
        <v>6</v>
      </c>
      <c r="C49">
        <v>16</v>
      </c>
      <c r="H49">
        <v>576</v>
      </c>
      <c r="I49">
        <v>13</v>
      </c>
      <c r="J49">
        <f t="shared" si="3"/>
        <v>15</v>
      </c>
      <c r="K49">
        <f t="shared" si="1"/>
        <v>2</v>
      </c>
      <c r="L49">
        <f t="shared" si="2"/>
        <v>0.14285714285714285</v>
      </c>
    </row>
    <row r="50" spans="1:12" x14ac:dyDescent="0.25">
      <c r="A50">
        <v>584</v>
      </c>
      <c r="B50" t="s">
        <v>6</v>
      </c>
      <c r="C50">
        <v>19</v>
      </c>
      <c r="H50">
        <v>577</v>
      </c>
      <c r="I50">
        <v>11</v>
      </c>
      <c r="J50">
        <f t="shared" si="3"/>
        <v>12</v>
      </c>
      <c r="K50">
        <f t="shared" si="1"/>
        <v>1</v>
      </c>
      <c r="L50">
        <f t="shared" si="2"/>
        <v>8.6956521739130432E-2</v>
      </c>
    </row>
    <row r="51" spans="1:12" x14ac:dyDescent="0.25">
      <c r="A51">
        <v>586</v>
      </c>
      <c r="B51" t="s">
        <v>6</v>
      </c>
      <c r="C51">
        <v>5</v>
      </c>
      <c r="H51">
        <v>580</v>
      </c>
      <c r="I51">
        <v>15</v>
      </c>
      <c r="J51">
        <f t="shared" si="3"/>
        <v>16</v>
      </c>
      <c r="K51">
        <f t="shared" si="1"/>
        <v>1</v>
      </c>
      <c r="L51">
        <f t="shared" si="2"/>
        <v>6.4516129032258063E-2</v>
      </c>
    </row>
    <row r="52" spans="1:12" x14ac:dyDescent="0.25">
      <c r="A52">
        <v>587</v>
      </c>
      <c r="B52" t="s">
        <v>6</v>
      </c>
      <c r="C52">
        <v>1</v>
      </c>
      <c r="H52">
        <v>584</v>
      </c>
      <c r="I52">
        <v>19</v>
      </c>
      <c r="J52">
        <f t="shared" si="3"/>
        <v>19</v>
      </c>
      <c r="K52">
        <f t="shared" si="1"/>
        <v>0</v>
      </c>
      <c r="L52">
        <f t="shared" si="2"/>
        <v>0</v>
      </c>
    </row>
    <row r="53" spans="1:12" x14ac:dyDescent="0.25">
      <c r="A53">
        <v>589</v>
      </c>
      <c r="B53" t="s">
        <v>6</v>
      </c>
      <c r="C53">
        <v>8</v>
      </c>
      <c r="H53">
        <v>586</v>
      </c>
      <c r="I53">
        <v>4</v>
      </c>
      <c r="J53">
        <f t="shared" si="3"/>
        <v>5</v>
      </c>
      <c r="K53">
        <f t="shared" si="1"/>
        <v>1</v>
      </c>
      <c r="L53">
        <f t="shared" si="2"/>
        <v>0.22222222222222221</v>
      </c>
    </row>
    <row r="54" spans="1:12" x14ac:dyDescent="0.25">
      <c r="A54">
        <v>592</v>
      </c>
      <c r="B54" t="s">
        <v>6</v>
      </c>
      <c r="C54">
        <v>1</v>
      </c>
      <c r="H54">
        <v>587</v>
      </c>
      <c r="I54">
        <v>1</v>
      </c>
      <c r="J54">
        <f t="shared" si="3"/>
        <v>1</v>
      </c>
      <c r="K54">
        <f t="shared" si="1"/>
        <v>0</v>
      </c>
      <c r="L54">
        <f t="shared" si="2"/>
        <v>0</v>
      </c>
    </row>
    <row r="55" spans="1:12" x14ac:dyDescent="0.25">
      <c r="A55">
        <v>594</v>
      </c>
      <c r="B55" t="s">
        <v>6</v>
      </c>
      <c r="C55">
        <v>4</v>
      </c>
      <c r="H55">
        <v>589</v>
      </c>
      <c r="I55">
        <v>9</v>
      </c>
      <c r="J55">
        <f t="shared" si="3"/>
        <v>8</v>
      </c>
      <c r="K55">
        <f t="shared" si="1"/>
        <v>1</v>
      </c>
      <c r="L55">
        <f t="shared" si="2"/>
        <v>0.11764705882352941</v>
      </c>
    </row>
    <row r="56" spans="1:12" x14ac:dyDescent="0.25">
      <c r="A56">
        <v>596</v>
      </c>
      <c r="B56" t="s">
        <v>6</v>
      </c>
      <c r="C56">
        <v>2</v>
      </c>
      <c r="H56">
        <v>592</v>
      </c>
      <c r="I56">
        <v>1</v>
      </c>
      <c r="J56">
        <f t="shared" si="3"/>
        <v>1</v>
      </c>
      <c r="K56">
        <f t="shared" si="1"/>
        <v>0</v>
      </c>
      <c r="L56">
        <f t="shared" si="2"/>
        <v>0</v>
      </c>
    </row>
    <row r="57" spans="1:12" x14ac:dyDescent="0.25">
      <c r="A57">
        <v>601</v>
      </c>
      <c r="B57" t="s">
        <v>6</v>
      </c>
      <c r="C57">
        <v>1</v>
      </c>
      <c r="H57">
        <v>594</v>
      </c>
      <c r="I57">
        <v>1</v>
      </c>
      <c r="J57">
        <f t="shared" si="3"/>
        <v>4</v>
      </c>
      <c r="K57">
        <f t="shared" si="1"/>
        <v>3</v>
      </c>
      <c r="L57">
        <f t="shared" si="2"/>
        <v>1.2</v>
      </c>
    </row>
    <row r="58" spans="1:12" x14ac:dyDescent="0.25">
      <c r="A58">
        <v>621</v>
      </c>
      <c r="B58" t="s">
        <v>6</v>
      </c>
      <c r="C58">
        <v>5</v>
      </c>
      <c r="H58">
        <v>596</v>
      </c>
      <c r="I58">
        <v>2</v>
      </c>
      <c r="J58">
        <f t="shared" si="3"/>
        <v>2</v>
      </c>
      <c r="K58">
        <f t="shared" si="1"/>
        <v>0</v>
      </c>
      <c r="L58">
        <f t="shared" si="2"/>
        <v>0</v>
      </c>
    </row>
    <row r="59" spans="1:12" x14ac:dyDescent="0.25">
      <c r="A59">
        <v>624</v>
      </c>
      <c r="B59" t="s">
        <v>6</v>
      </c>
      <c r="C59">
        <v>9</v>
      </c>
      <c r="H59">
        <v>601</v>
      </c>
      <c r="I59">
        <v>1</v>
      </c>
      <c r="J59">
        <f t="shared" si="3"/>
        <v>1</v>
      </c>
      <c r="K59">
        <f t="shared" si="1"/>
        <v>0</v>
      </c>
      <c r="L59">
        <f t="shared" si="2"/>
        <v>0</v>
      </c>
    </row>
    <row r="60" spans="1:12" x14ac:dyDescent="0.25">
      <c r="A60">
        <v>627</v>
      </c>
      <c r="B60" t="s">
        <v>6</v>
      </c>
      <c r="C60">
        <v>4</v>
      </c>
      <c r="H60">
        <v>621</v>
      </c>
      <c r="I60">
        <v>6</v>
      </c>
      <c r="J60">
        <f>VLOOKUP(H60,$A$1:$C$87,3,FALSE)</f>
        <v>5</v>
      </c>
      <c r="K60">
        <f>ABS(J60-I60)</f>
        <v>1</v>
      </c>
      <c r="L60">
        <f>2*(K60/(I60+J60))</f>
        <v>0.18181818181818182</v>
      </c>
    </row>
    <row r="61" spans="1:12" x14ac:dyDescent="0.25">
      <c r="A61">
        <v>628</v>
      </c>
      <c r="B61" t="s">
        <v>6</v>
      </c>
      <c r="C61">
        <v>12</v>
      </c>
      <c r="H61">
        <v>624</v>
      </c>
      <c r="I61">
        <v>8</v>
      </c>
      <c r="J61">
        <f>VLOOKUP(H61,$A$1:$C$87,3,FALSE)</f>
        <v>9</v>
      </c>
      <c r="K61">
        <f>ABS(J61-I61)</f>
        <v>1</v>
      </c>
      <c r="L61">
        <f>2*(K61/(I61+J61))</f>
        <v>0.11764705882352941</v>
      </c>
    </row>
    <row r="62" spans="1:12" x14ac:dyDescent="0.25">
      <c r="A62">
        <v>633</v>
      </c>
      <c r="B62" t="s">
        <v>6</v>
      </c>
      <c r="C62">
        <v>8</v>
      </c>
      <c r="H62">
        <v>627</v>
      </c>
      <c r="I62">
        <v>3</v>
      </c>
      <c r="J62">
        <f>VLOOKUP(H62,$A$1:$C$87,3,FALSE)</f>
        <v>4</v>
      </c>
      <c r="K62">
        <f>ABS(J62-I62)</f>
        <v>1</v>
      </c>
      <c r="L62">
        <f>2*(K62/(I62+J62))</f>
        <v>0.2857142857142857</v>
      </c>
    </row>
    <row r="63" spans="1:12" x14ac:dyDescent="0.25">
      <c r="A63">
        <v>637</v>
      </c>
      <c r="B63" t="s">
        <v>6</v>
      </c>
      <c r="C63">
        <v>16</v>
      </c>
      <c r="H63">
        <v>628</v>
      </c>
      <c r="I63">
        <v>12</v>
      </c>
      <c r="J63">
        <f>VLOOKUP(H63,$A$1:$C$87,3,FALSE)</f>
        <v>12</v>
      </c>
      <c r="K63">
        <f>ABS(J63-I63)</f>
        <v>0</v>
      </c>
      <c r="L63">
        <f>2*(K63/(I63+J63))</f>
        <v>0</v>
      </c>
    </row>
    <row r="64" spans="1:12" x14ac:dyDescent="0.25">
      <c r="A64">
        <v>640</v>
      </c>
      <c r="B64" t="s">
        <v>6</v>
      </c>
      <c r="C64">
        <v>9</v>
      </c>
      <c r="H64">
        <v>633</v>
      </c>
      <c r="I64">
        <v>12</v>
      </c>
      <c r="J64">
        <f>VLOOKUP(H64,$A$1:$C$87,3,FALSE)</f>
        <v>8</v>
      </c>
      <c r="K64">
        <f>ABS(J64-I64)</f>
        <v>4</v>
      </c>
      <c r="L64">
        <f>2*(K64/(I64+J64))</f>
        <v>0.4</v>
      </c>
    </row>
    <row r="65" spans="1:12" x14ac:dyDescent="0.25">
      <c r="A65">
        <v>645</v>
      </c>
      <c r="B65" t="s">
        <v>6</v>
      </c>
      <c r="C65">
        <v>3</v>
      </c>
      <c r="H65">
        <v>637</v>
      </c>
      <c r="I65">
        <v>14</v>
      </c>
      <c r="J65">
        <f>VLOOKUP(H65,$A$1:$C$87,3,FALSE)</f>
        <v>16</v>
      </c>
      <c r="K65">
        <f>ABS(J65-I65)</f>
        <v>2</v>
      </c>
      <c r="L65">
        <f>2*(K65/(I65+J65))</f>
        <v>0.13333333333333333</v>
      </c>
    </row>
    <row r="66" spans="1:12" x14ac:dyDescent="0.25">
      <c r="A66">
        <v>648</v>
      </c>
      <c r="B66" t="s">
        <v>6</v>
      </c>
      <c r="C66">
        <v>6</v>
      </c>
      <c r="H66">
        <v>640</v>
      </c>
      <c r="I66">
        <v>12</v>
      </c>
      <c r="J66">
        <f>VLOOKUP(H66,$A$1:$C$87,3,FALSE)</f>
        <v>9</v>
      </c>
      <c r="K66">
        <f>ABS(J66-I66)</f>
        <v>3</v>
      </c>
      <c r="L66">
        <f>2*(K66/(I66+J66))</f>
        <v>0.2857142857142857</v>
      </c>
    </row>
    <row r="67" spans="1:12" x14ac:dyDescent="0.25">
      <c r="A67">
        <v>651</v>
      </c>
      <c r="B67" t="s">
        <v>6</v>
      </c>
      <c r="C67">
        <v>13</v>
      </c>
      <c r="H67">
        <v>645</v>
      </c>
      <c r="I67">
        <v>3</v>
      </c>
      <c r="J67">
        <f>VLOOKUP(H67,$A$1:$C$87,3,FALSE)</f>
        <v>3</v>
      </c>
      <c r="K67">
        <f>ABS(J67-I67)</f>
        <v>0</v>
      </c>
      <c r="L67">
        <f>2*(K67/(I67+J67))</f>
        <v>0</v>
      </c>
    </row>
    <row r="68" spans="1:12" x14ac:dyDescent="0.25">
      <c r="A68">
        <v>655</v>
      </c>
      <c r="B68" t="s">
        <v>6</v>
      </c>
      <c r="C68">
        <v>13</v>
      </c>
      <c r="H68">
        <v>648</v>
      </c>
      <c r="I68">
        <v>6</v>
      </c>
      <c r="J68">
        <f>VLOOKUP(H68,$A$1:$C$87,3,FALSE)</f>
        <v>6</v>
      </c>
      <c r="K68">
        <f>ABS(J68-I68)</f>
        <v>0</v>
      </c>
      <c r="L68">
        <f>2*(K68/(I68+J68))</f>
        <v>0</v>
      </c>
    </row>
    <row r="69" spans="1:12" x14ac:dyDescent="0.25">
      <c r="A69">
        <v>661</v>
      </c>
      <c r="B69" t="s">
        <v>6</v>
      </c>
      <c r="C69">
        <v>23</v>
      </c>
      <c r="H69">
        <v>651</v>
      </c>
      <c r="I69">
        <v>15</v>
      </c>
      <c r="J69">
        <f t="shared" ref="J69:J89" si="4">VLOOKUP(H69,$A$1:$C$87,3,FALSE)</f>
        <v>13</v>
      </c>
      <c r="K69">
        <f>ABS(J69-I69)</f>
        <v>2</v>
      </c>
      <c r="L69">
        <f>2*(K69/(I69+J69))</f>
        <v>0.14285714285714285</v>
      </c>
    </row>
    <row r="70" spans="1:12" x14ac:dyDescent="0.25">
      <c r="A70">
        <v>664</v>
      </c>
      <c r="B70" t="s">
        <v>6</v>
      </c>
      <c r="C70">
        <v>5</v>
      </c>
      <c r="H70">
        <v>655</v>
      </c>
      <c r="I70">
        <v>15</v>
      </c>
      <c r="J70">
        <f t="shared" si="4"/>
        <v>13</v>
      </c>
      <c r="K70">
        <f t="shared" ref="K70:K89" si="5">ABS(J70-I70)</f>
        <v>2</v>
      </c>
      <c r="L70">
        <f t="shared" ref="L70:L89" si="6">2*(K70/(I70+J70))</f>
        <v>0.14285714285714285</v>
      </c>
    </row>
    <row r="71" spans="1:12" x14ac:dyDescent="0.25">
      <c r="A71">
        <v>669</v>
      </c>
      <c r="B71" t="s">
        <v>6</v>
      </c>
      <c r="C71">
        <v>15</v>
      </c>
      <c r="H71">
        <v>661</v>
      </c>
      <c r="I71">
        <v>20</v>
      </c>
      <c r="J71">
        <f t="shared" si="4"/>
        <v>23</v>
      </c>
      <c r="K71">
        <f t="shared" si="5"/>
        <v>3</v>
      </c>
      <c r="L71">
        <f t="shared" si="6"/>
        <v>0.13953488372093023</v>
      </c>
    </row>
    <row r="72" spans="1:12" x14ac:dyDescent="0.25">
      <c r="A72">
        <v>672</v>
      </c>
      <c r="B72" t="s">
        <v>6</v>
      </c>
      <c r="C72">
        <v>21</v>
      </c>
      <c r="H72">
        <v>664</v>
      </c>
      <c r="I72">
        <v>5</v>
      </c>
      <c r="J72">
        <f t="shared" si="4"/>
        <v>5</v>
      </c>
      <c r="K72">
        <f t="shared" si="5"/>
        <v>0</v>
      </c>
      <c r="L72">
        <f t="shared" si="6"/>
        <v>0</v>
      </c>
    </row>
    <row r="73" spans="1:12" x14ac:dyDescent="0.25">
      <c r="A73">
        <v>676</v>
      </c>
      <c r="B73" t="s">
        <v>6</v>
      </c>
      <c r="C73">
        <v>25</v>
      </c>
      <c r="H73">
        <v>669</v>
      </c>
      <c r="I73">
        <v>15</v>
      </c>
      <c r="J73">
        <f t="shared" si="4"/>
        <v>15</v>
      </c>
      <c r="K73">
        <f t="shared" si="5"/>
        <v>0</v>
      </c>
      <c r="L73">
        <f t="shared" si="6"/>
        <v>0</v>
      </c>
    </row>
    <row r="74" spans="1:12" x14ac:dyDescent="0.25">
      <c r="A74">
        <v>678</v>
      </c>
      <c r="B74" t="s">
        <v>6</v>
      </c>
      <c r="C74">
        <v>18</v>
      </c>
      <c r="H74">
        <v>672</v>
      </c>
      <c r="I74">
        <v>21</v>
      </c>
      <c r="J74">
        <f t="shared" si="4"/>
        <v>21</v>
      </c>
      <c r="K74">
        <f t="shared" si="5"/>
        <v>0</v>
      </c>
      <c r="L74">
        <f t="shared" si="6"/>
        <v>0</v>
      </c>
    </row>
    <row r="75" spans="1:12" x14ac:dyDescent="0.25">
      <c r="A75">
        <v>681</v>
      </c>
      <c r="B75" t="s">
        <v>6</v>
      </c>
      <c r="C75">
        <v>8</v>
      </c>
      <c r="H75">
        <v>676</v>
      </c>
      <c r="I75">
        <v>25</v>
      </c>
      <c r="J75">
        <f t="shared" si="4"/>
        <v>25</v>
      </c>
      <c r="K75">
        <f t="shared" si="5"/>
        <v>0</v>
      </c>
      <c r="L75">
        <f t="shared" si="6"/>
        <v>0</v>
      </c>
    </row>
    <row r="76" spans="1:12" x14ac:dyDescent="0.25">
      <c r="A76">
        <v>684</v>
      </c>
      <c r="B76" t="s">
        <v>6</v>
      </c>
      <c r="C76">
        <v>7</v>
      </c>
      <c r="H76">
        <v>678</v>
      </c>
      <c r="I76">
        <v>20</v>
      </c>
      <c r="J76">
        <f t="shared" si="4"/>
        <v>18</v>
      </c>
      <c r="K76">
        <f t="shared" si="5"/>
        <v>2</v>
      </c>
      <c r="L76">
        <f t="shared" si="6"/>
        <v>0.10526315789473684</v>
      </c>
    </row>
    <row r="77" spans="1:12" x14ac:dyDescent="0.25">
      <c r="A77">
        <v>689</v>
      </c>
      <c r="B77" t="s">
        <v>6</v>
      </c>
      <c r="C77">
        <v>16</v>
      </c>
      <c r="H77">
        <v>681</v>
      </c>
      <c r="I77">
        <v>8</v>
      </c>
      <c r="J77">
        <f t="shared" si="4"/>
        <v>8</v>
      </c>
      <c r="K77">
        <f t="shared" si="5"/>
        <v>0</v>
      </c>
      <c r="L77">
        <f t="shared" si="6"/>
        <v>0</v>
      </c>
    </row>
    <row r="78" spans="1:12" x14ac:dyDescent="0.25">
      <c r="A78">
        <v>693</v>
      </c>
      <c r="B78" t="s">
        <v>6</v>
      </c>
      <c r="C78">
        <v>1</v>
      </c>
      <c r="H78">
        <v>684</v>
      </c>
      <c r="I78">
        <v>8</v>
      </c>
      <c r="J78">
        <f t="shared" si="4"/>
        <v>7</v>
      </c>
      <c r="K78">
        <f t="shared" si="5"/>
        <v>1</v>
      </c>
      <c r="L78">
        <f t="shared" si="6"/>
        <v>0.13333333333333333</v>
      </c>
    </row>
    <row r="79" spans="1:12" x14ac:dyDescent="0.25">
      <c r="A79">
        <v>702</v>
      </c>
      <c r="B79" t="s">
        <v>6</v>
      </c>
      <c r="C79">
        <v>1</v>
      </c>
      <c r="H79">
        <v>689</v>
      </c>
      <c r="I79">
        <v>15</v>
      </c>
      <c r="J79">
        <f t="shared" si="4"/>
        <v>16</v>
      </c>
      <c r="K79">
        <f t="shared" si="5"/>
        <v>1</v>
      </c>
      <c r="L79">
        <f t="shared" si="6"/>
        <v>6.4516129032258063E-2</v>
      </c>
    </row>
    <row r="80" spans="1:12" x14ac:dyDescent="0.25">
      <c r="A80">
        <v>712</v>
      </c>
      <c r="B80" t="s">
        <v>6</v>
      </c>
      <c r="C80">
        <v>1</v>
      </c>
      <c r="H80">
        <v>693</v>
      </c>
      <c r="I80">
        <v>1</v>
      </c>
      <c r="J80">
        <f t="shared" si="4"/>
        <v>1</v>
      </c>
      <c r="K80">
        <f t="shared" si="5"/>
        <v>0</v>
      </c>
      <c r="L80">
        <f t="shared" si="6"/>
        <v>0</v>
      </c>
    </row>
    <row r="81" spans="1:15" x14ac:dyDescent="0.25">
      <c r="A81">
        <v>716</v>
      </c>
      <c r="B81" t="s">
        <v>6</v>
      </c>
      <c r="C81">
        <v>5</v>
      </c>
      <c r="H81">
        <v>702</v>
      </c>
      <c r="I81">
        <v>2</v>
      </c>
      <c r="J81">
        <f t="shared" si="4"/>
        <v>1</v>
      </c>
      <c r="K81">
        <f t="shared" si="5"/>
        <v>1</v>
      </c>
      <c r="L81">
        <f t="shared" si="6"/>
        <v>0.66666666666666663</v>
      </c>
    </row>
    <row r="82" spans="1:15" x14ac:dyDescent="0.25">
      <c r="A82">
        <v>721</v>
      </c>
      <c r="B82" t="s">
        <v>6</v>
      </c>
      <c r="C82">
        <v>1</v>
      </c>
      <c r="H82">
        <v>712</v>
      </c>
      <c r="I82">
        <v>2</v>
      </c>
      <c r="J82">
        <f t="shared" si="4"/>
        <v>1</v>
      </c>
      <c r="K82">
        <f t="shared" si="5"/>
        <v>1</v>
      </c>
      <c r="L82">
        <f t="shared" si="6"/>
        <v>0.66666666666666663</v>
      </c>
    </row>
    <row r="83" spans="1:15" x14ac:dyDescent="0.25">
      <c r="A83">
        <v>723</v>
      </c>
      <c r="B83" t="s">
        <v>6</v>
      </c>
      <c r="C83">
        <v>5</v>
      </c>
      <c r="H83">
        <v>716</v>
      </c>
      <c r="I83">
        <v>6</v>
      </c>
      <c r="J83">
        <f t="shared" si="4"/>
        <v>5</v>
      </c>
      <c r="K83">
        <f t="shared" si="5"/>
        <v>1</v>
      </c>
      <c r="L83">
        <f t="shared" si="6"/>
        <v>0.18181818181818182</v>
      </c>
    </row>
    <row r="84" spans="1:15" x14ac:dyDescent="0.25">
      <c r="A84">
        <v>725</v>
      </c>
      <c r="B84" t="s">
        <v>6</v>
      </c>
      <c r="C84">
        <v>18</v>
      </c>
      <c r="H84">
        <v>721</v>
      </c>
      <c r="I84">
        <v>1</v>
      </c>
      <c r="J84">
        <f t="shared" si="4"/>
        <v>1</v>
      </c>
      <c r="K84">
        <f t="shared" si="5"/>
        <v>0</v>
      </c>
      <c r="L84">
        <f t="shared" si="6"/>
        <v>0</v>
      </c>
    </row>
    <row r="85" spans="1:15" x14ac:dyDescent="0.25">
      <c r="A85">
        <v>728</v>
      </c>
      <c r="B85" t="s">
        <v>6</v>
      </c>
      <c r="C85">
        <v>13</v>
      </c>
      <c r="H85">
        <v>723</v>
      </c>
      <c r="I85">
        <v>7</v>
      </c>
      <c r="J85">
        <f t="shared" si="4"/>
        <v>5</v>
      </c>
      <c r="K85">
        <f t="shared" si="5"/>
        <v>2</v>
      </c>
      <c r="L85">
        <f t="shared" si="6"/>
        <v>0.33333333333333331</v>
      </c>
    </row>
    <row r="86" spans="1:15" x14ac:dyDescent="0.25">
      <c r="A86">
        <v>731</v>
      </c>
      <c r="B86" t="s">
        <v>6</v>
      </c>
      <c r="C86">
        <v>15</v>
      </c>
      <c r="H86">
        <v>725</v>
      </c>
      <c r="I86">
        <v>20</v>
      </c>
      <c r="J86">
        <f t="shared" si="4"/>
        <v>18</v>
      </c>
      <c r="K86">
        <f t="shared" si="5"/>
        <v>2</v>
      </c>
      <c r="L86">
        <f t="shared" si="6"/>
        <v>0.10526315789473684</v>
      </c>
    </row>
    <row r="87" spans="1:15" x14ac:dyDescent="0.25">
      <c r="A87">
        <v>734</v>
      </c>
      <c r="B87" t="s">
        <v>6</v>
      </c>
      <c r="C87">
        <v>3</v>
      </c>
      <c r="H87">
        <v>728</v>
      </c>
      <c r="I87">
        <v>10</v>
      </c>
      <c r="J87">
        <f t="shared" si="4"/>
        <v>13</v>
      </c>
      <c r="K87">
        <f t="shared" si="5"/>
        <v>3</v>
      </c>
      <c r="L87">
        <f t="shared" si="6"/>
        <v>0.2608695652173913</v>
      </c>
    </row>
    <row r="88" spans="1:15" x14ac:dyDescent="0.25">
      <c r="H88">
        <v>731</v>
      </c>
      <c r="I88">
        <v>16</v>
      </c>
      <c r="J88">
        <f t="shared" si="4"/>
        <v>15</v>
      </c>
      <c r="K88">
        <f t="shared" si="5"/>
        <v>1</v>
      </c>
      <c r="L88">
        <f t="shared" si="6"/>
        <v>6.4516129032258063E-2</v>
      </c>
    </row>
    <row r="89" spans="1:15" x14ac:dyDescent="0.25">
      <c r="H89">
        <v>734</v>
      </c>
      <c r="I89">
        <v>2</v>
      </c>
      <c r="J89">
        <f t="shared" si="4"/>
        <v>3</v>
      </c>
      <c r="K89">
        <f t="shared" si="5"/>
        <v>1</v>
      </c>
      <c r="L89">
        <f t="shared" si="6"/>
        <v>0.4</v>
      </c>
    </row>
    <row r="91" spans="1:15" x14ac:dyDescent="0.25">
      <c r="G91" t="s">
        <v>34</v>
      </c>
    </row>
    <row r="92" spans="1:15" x14ac:dyDescent="0.25">
      <c r="H92" t="s">
        <v>0</v>
      </c>
      <c r="I92" t="s">
        <v>33</v>
      </c>
      <c r="J92" t="s">
        <v>2</v>
      </c>
      <c r="K92" t="s">
        <v>35</v>
      </c>
      <c r="L92" t="s">
        <v>25</v>
      </c>
    </row>
    <row r="93" spans="1:15" x14ac:dyDescent="0.25">
      <c r="H93">
        <v>384</v>
      </c>
      <c r="I93">
        <v>17</v>
      </c>
      <c r="J93">
        <f>VLOOKUP(H93,$A$1:$C$87,3,FALSE)</f>
        <v>15</v>
      </c>
      <c r="K93">
        <f>ABS(J93-I93)</f>
        <v>2</v>
      </c>
      <c r="L93">
        <f>2*K93/(I93+J93)</f>
        <v>0.125</v>
      </c>
      <c r="N93" t="s">
        <v>36</v>
      </c>
      <c r="O93">
        <f>AVERAGE(K93:K178)</f>
        <v>1.1395348837209303</v>
      </c>
    </row>
    <row r="94" spans="1:15" x14ac:dyDescent="0.25">
      <c r="H94">
        <v>397</v>
      </c>
      <c r="I94">
        <v>6</v>
      </c>
      <c r="J94">
        <f>VLOOKUP(H94,$A$1:$C$87,3,FALSE)</f>
        <v>6</v>
      </c>
      <c r="K94">
        <f t="shared" ref="K94:K157" si="7">ABS(J94-I94)</f>
        <v>0</v>
      </c>
      <c r="L94">
        <f t="shared" ref="L94:L157" si="8">2*K94/(I94+J94)</f>
        <v>0</v>
      </c>
      <c r="N94" t="s">
        <v>37</v>
      </c>
      <c r="O94" s="2">
        <f>AVERAGE(L93:L178)</f>
        <v>0.17563626152230924</v>
      </c>
    </row>
    <row r="95" spans="1:15" x14ac:dyDescent="0.25">
      <c r="H95">
        <v>402</v>
      </c>
      <c r="I95">
        <v>3</v>
      </c>
      <c r="J95">
        <f>VLOOKUP(H95,$A$1:$C$87,3,FALSE)</f>
        <v>2</v>
      </c>
      <c r="K95">
        <f t="shared" si="7"/>
        <v>1</v>
      </c>
      <c r="L95">
        <f t="shared" si="8"/>
        <v>0.4</v>
      </c>
    </row>
    <row r="96" spans="1:15" x14ac:dyDescent="0.25">
      <c r="H96">
        <v>405</v>
      </c>
      <c r="I96">
        <v>9</v>
      </c>
      <c r="J96">
        <f>VLOOKUP(H96,$A$1:$C$87,3,FALSE)</f>
        <v>9</v>
      </c>
      <c r="K96">
        <f t="shared" si="7"/>
        <v>0</v>
      </c>
      <c r="L96">
        <f t="shared" si="8"/>
        <v>0</v>
      </c>
    </row>
    <row r="97" spans="8:12" x14ac:dyDescent="0.25">
      <c r="H97">
        <v>408</v>
      </c>
      <c r="I97">
        <v>3</v>
      </c>
      <c r="J97">
        <f>VLOOKUP(H97,$A$1:$C$87,3,FALSE)</f>
        <v>3</v>
      </c>
      <c r="K97">
        <f t="shared" si="7"/>
        <v>0</v>
      </c>
      <c r="L97">
        <f t="shared" si="8"/>
        <v>0</v>
      </c>
    </row>
    <row r="98" spans="8:12" x14ac:dyDescent="0.25">
      <c r="H98">
        <v>416</v>
      </c>
      <c r="I98">
        <v>2</v>
      </c>
      <c r="J98">
        <f>VLOOKUP(H98,$A$1:$C$87,3,FALSE)</f>
        <v>3</v>
      </c>
      <c r="K98">
        <f t="shared" si="7"/>
        <v>1</v>
      </c>
      <c r="L98">
        <f t="shared" si="8"/>
        <v>0.4</v>
      </c>
    </row>
    <row r="99" spans="8:12" x14ac:dyDescent="0.25">
      <c r="H99">
        <v>419</v>
      </c>
      <c r="I99">
        <v>13</v>
      </c>
      <c r="J99">
        <f>VLOOKUP(H99,$A$1:$C$87,3,FALSE)</f>
        <v>13</v>
      </c>
      <c r="K99">
        <f t="shared" si="7"/>
        <v>0</v>
      </c>
      <c r="L99">
        <f t="shared" si="8"/>
        <v>0</v>
      </c>
    </row>
    <row r="100" spans="8:12" x14ac:dyDescent="0.25">
      <c r="H100">
        <v>425</v>
      </c>
      <c r="I100">
        <v>1</v>
      </c>
      <c r="J100">
        <f>VLOOKUP(H100,$A$1:$C$87,3,FALSE)</f>
        <v>1</v>
      </c>
      <c r="K100">
        <f t="shared" si="7"/>
        <v>0</v>
      </c>
      <c r="L100">
        <f t="shared" si="8"/>
        <v>0</v>
      </c>
    </row>
    <row r="101" spans="8:12" x14ac:dyDescent="0.25">
      <c r="H101">
        <v>428</v>
      </c>
      <c r="I101">
        <v>9</v>
      </c>
      <c r="J101">
        <f>VLOOKUP(H101,$A$1:$C$87,3,FALSE)</f>
        <v>9</v>
      </c>
      <c r="K101">
        <f t="shared" si="7"/>
        <v>0</v>
      </c>
      <c r="L101">
        <f t="shared" si="8"/>
        <v>0</v>
      </c>
    </row>
    <row r="102" spans="8:12" x14ac:dyDescent="0.25">
      <c r="H102">
        <v>431</v>
      </c>
      <c r="I102">
        <v>4</v>
      </c>
      <c r="J102">
        <f>VLOOKUP(H102,$A$1:$C$87,3,FALSE)</f>
        <v>3</v>
      </c>
      <c r="K102">
        <f t="shared" si="7"/>
        <v>1</v>
      </c>
      <c r="L102">
        <f t="shared" si="8"/>
        <v>0.2857142857142857</v>
      </c>
    </row>
    <row r="103" spans="8:12" x14ac:dyDescent="0.25">
      <c r="H103">
        <v>433</v>
      </c>
      <c r="I103">
        <v>2</v>
      </c>
      <c r="J103">
        <f>VLOOKUP(H103,$A$1:$C$87,3,FALSE)</f>
        <v>1</v>
      </c>
      <c r="K103">
        <f t="shared" si="7"/>
        <v>1</v>
      </c>
      <c r="L103">
        <f t="shared" si="8"/>
        <v>0.66666666666666663</v>
      </c>
    </row>
    <row r="104" spans="8:12" x14ac:dyDescent="0.25">
      <c r="H104">
        <v>436</v>
      </c>
      <c r="I104">
        <v>13</v>
      </c>
      <c r="J104">
        <f>VLOOKUP(H104,$A$1:$C$87,3,FALSE)</f>
        <v>10</v>
      </c>
      <c r="K104">
        <f t="shared" si="7"/>
        <v>3</v>
      </c>
      <c r="L104">
        <f t="shared" si="8"/>
        <v>0.2608695652173913</v>
      </c>
    </row>
    <row r="105" spans="8:12" x14ac:dyDescent="0.25">
      <c r="H105">
        <v>443</v>
      </c>
      <c r="I105">
        <v>16</v>
      </c>
      <c r="J105">
        <f>VLOOKUP(H105,$A$1:$C$87,3,FALSE)</f>
        <v>10</v>
      </c>
      <c r="K105">
        <f t="shared" si="7"/>
        <v>6</v>
      </c>
      <c r="L105">
        <f t="shared" si="8"/>
        <v>0.46153846153846156</v>
      </c>
    </row>
    <row r="106" spans="8:12" x14ac:dyDescent="0.25">
      <c r="H106">
        <v>446</v>
      </c>
      <c r="I106">
        <v>2</v>
      </c>
      <c r="J106">
        <f>VLOOKUP(H106,$A$1:$C$87,3,FALSE)</f>
        <v>2</v>
      </c>
      <c r="K106">
        <f t="shared" si="7"/>
        <v>0</v>
      </c>
      <c r="L106">
        <f t="shared" si="8"/>
        <v>0</v>
      </c>
    </row>
    <row r="107" spans="8:12" x14ac:dyDescent="0.25">
      <c r="H107">
        <v>450</v>
      </c>
      <c r="I107">
        <v>13</v>
      </c>
      <c r="J107">
        <f>VLOOKUP(H107,$A$1:$C$87,3,FALSE)</f>
        <v>10</v>
      </c>
      <c r="K107">
        <f t="shared" si="7"/>
        <v>3</v>
      </c>
      <c r="L107">
        <f t="shared" si="8"/>
        <v>0.2608695652173913</v>
      </c>
    </row>
    <row r="108" spans="8:12" x14ac:dyDescent="0.25">
      <c r="H108">
        <v>453</v>
      </c>
      <c r="I108">
        <v>9</v>
      </c>
      <c r="J108">
        <f>VLOOKUP(H108,$A$1:$C$87,3,FALSE)</f>
        <v>8</v>
      </c>
      <c r="K108">
        <f t="shared" si="7"/>
        <v>1</v>
      </c>
      <c r="L108">
        <f t="shared" si="8"/>
        <v>0.11764705882352941</v>
      </c>
    </row>
    <row r="109" spans="8:12" x14ac:dyDescent="0.25">
      <c r="H109">
        <v>455</v>
      </c>
      <c r="I109">
        <v>13</v>
      </c>
      <c r="J109">
        <f>VLOOKUP(H109,$A$1:$C$87,3,FALSE)</f>
        <v>10</v>
      </c>
      <c r="K109">
        <f t="shared" si="7"/>
        <v>3</v>
      </c>
      <c r="L109">
        <f t="shared" si="8"/>
        <v>0.2608695652173913</v>
      </c>
    </row>
    <row r="110" spans="8:12" x14ac:dyDescent="0.25">
      <c r="H110">
        <v>458</v>
      </c>
      <c r="I110">
        <v>5</v>
      </c>
      <c r="J110">
        <f>VLOOKUP(H110,$A$1:$C$87,3,FALSE)</f>
        <v>3</v>
      </c>
      <c r="K110">
        <f t="shared" si="7"/>
        <v>2</v>
      </c>
      <c r="L110">
        <f t="shared" si="8"/>
        <v>0.5</v>
      </c>
    </row>
    <row r="111" spans="8:12" x14ac:dyDescent="0.25">
      <c r="H111">
        <v>466</v>
      </c>
      <c r="I111">
        <v>14</v>
      </c>
      <c r="J111">
        <f>VLOOKUP(H111,$A$1:$C$87,3,FALSE)</f>
        <v>16</v>
      </c>
      <c r="K111">
        <f t="shared" si="7"/>
        <v>2</v>
      </c>
      <c r="L111">
        <f t="shared" si="8"/>
        <v>0.13333333333333333</v>
      </c>
    </row>
    <row r="112" spans="8:12" x14ac:dyDescent="0.25">
      <c r="H112">
        <v>470</v>
      </c>
      <c r="I112">
        <v>3</v>
      </c>
      <c r="J112">
        <f>VLOOKUP(H112,$A$1:$C$87,3,FALSE)</f>
        <v>1</v>
      </c>
      <c r="K112">
        <f t="shared" si="7"/>
        <v>2</v>
      </c>
      <c r="L112">
        <f t="shared" si="8"/>
        <v>1</v>
      </c>
    </row>
    <row r="113" spans="8:12" x14ac:dyDescent="0.25">
      <c r="H113">
        <v>473</v>
      </c>
      <c r="I113">
        <v>1</v>
      </c>
      <c r="J113">
        <f>VLOOKUP(H113,$A$1:$C$87,3,FALSE)</f>
        <v>1</v>
      </c>
      <c r="K113">
        <f t="shared" si="7"/>
        <v>0</v>
      </c>
      <c r="L113">
        <f t="shared" si="8"/>
        <v>0</v>
      </c>
    </row>
    <row r="114" spans="8:12" x14ac:dyDescent="0.25">
      <c r="H114">
        <v>475</v>
      </c>
      <c r="I114">
        <v>4</v>
      </c>
      <c r="J114">
        <f>VLOOKUP(H114,$A$1:$C$87,3,FALSE)</f>
        <v>1</v>
      </c>
      <c r="K114">
        <f t="shared" si="7"/>
        <v>3</v>
      </c>
      <c r="L114">
        <f t="shared" si="8"/>
        <v>1.2</v>
      </c>
    </row>
    <row r="115" spans="8:12" x14ac:dyDescent="0.25">
      <c r="H115">
        <v>478</v>
      </c>
      <c r="I115">
        <v>15</v>
      </c>
      <c r="J115">
        <f>VLOOKUP(H115,$A$1:$C$87,3,FALSE)</f>
        <v>15</v>
      </c>
      <c r="K115">
        <f t="shared" si="7"/>
        <v>0</v>
      </c>
      <c r="L115">
        <f t="shared" si="8"/>
        <v>0</v>
      </c>
    </row>
    <row r="116" spans="8:12" x14ac:dyDescent="0.25">
      <c r="H116">
        <v>481</v>
      </c>
      <c r="I116">
        <v>3</v>
      </c>
      <c r="J116">
        <f>VLOOKUP(H116,$A$1:$C$87,3,FALSE)</f>
        <v>2</v>
      </c>
      <c r="K116">
        <f t="shared" si="7"/>
        <v>1</v>
      </c>
      <c r="L116">
        <f t="shared" si="8"/>
        <v>0.4</v>
      </c>
    </row>
    <row r="117" spans="8:12" x14ac:dyDescent="0.25">
      <c r="H117">
        <v>484</v>
      </c>
      <c r="I117">
        <v>45</v>
      </c>
      <c r="J117">
        <f>VLOOKUP(H117,$A$1:$C$87,3,FALSE)</f>
        <v>47</v>
      </c>
      <c r="K117">
        <f t="shared" si="7"/>
        <v>2</v>
      </c>
      <c r="L117">
        <f t="shared" si="8"/>
        <v>4.3478260869565216E-2</v>
      </c>
    </row>
    <row r="118" spans="8:12" x14ac:dyDescent="0.25">
      <c r="H118">
        <v>487</v>
      </c>
      <c r="I118">
        <v>10</v>
      </c>
      <c r="J118">
        <f>VLOOKUP(H118,$A$1:$C$87,3,FALSE)</f>
        <v>9</v>
      </c>
      <c r="K118">
        <f t="shared" si="7"/>
        <v>1</v>
      </c>
      <c r="L118">
        <f t="shared" si="8"/>
        <v>0.10526315789473684</v>
      </c>
    </row>
    <row r="119" spans="8:12" x14ac:dyDescent="0.25">
      <c r="H119">
        <v>490</v>
      </c>
      <c r="I119">
        <v>3</v>
      </c>
      <c r="J119">
        <f>VLOOKUP(H119,$A$1:$C$87,3,FALSE)</f>
        <v>2</v>
      </c>
      <c r="K119">
        <f t="shared" si="7"/>
        <v>1</v>
      </c>
      <c r="L119">
        <f t="shared" si="8"/>
        <v>0.4</v>
      </c>
    </row>
    <row r="120" spans="8:12" x14ac:dyDescent="0.25">
      <c r="H120">
        <v>495</v>
      </c>
      <c r="I120">
        <v>22</v>
      </c>
      <c r="J120">
        <f>VLOOKUP(H120,$A$1:$C$87,3,FALSE)</f>
        <v>18</v>
      </c>
      <c r="K120">
        <f t="shared" si="7"/>
        <v>4</v>
      </c>
      <c r="L120">
        <f t="shared" si="8"/>
        <v>0.2</v>
      </c>
    </row>
    <row r="121" spans="8:12" x14ac:dyDescent="0.25">
      <c r="H121">
        <v>499</v>
      </c>
      <c r="I121">
        <v>11</v>
      </c>
      <c r="J121">
        <f>VLOOKUP(H121,$A$1:$C$87,3,FALSE)</f>
        <v>9</v>
      </c>
      <c r="K121">
        <f t="shared" si="7"/>
        <v>2</v>
      </c>
      <c r="L121">
        <f t="shared" si="8"/>
        <v>0.2</v>
      </c>
    </row>
    <row r="122" spans="8:12" x14ac:dyDescent="0.25">
      <c r="H122">
        <v>506</v>
      </c>
      <c r="I122">
        <v>27</v>
      </c>
      <c r="J122">
        <f>VLOOKUP(H122,$A$1:$C$87,3,FALSE)</f>
        <v>23</v>
      </c>
      <c r="K122">
        <f t="shared" si="7"/>
        <v>4</v>
      </c>
      <c r="L122">
        <f t="shared" si="8"/>
        <v>0.16</v>
      </c>
    </row>
    <row r="123" spans="8:12" x14ac:dyDescent="0.25">
      <c r="H123">
        <v>509</v>
      </c>
      <c r="I123">
        <v>9</v>
      </c>
      <c r="J123">
        <f>VLOOKUP(H123,$A$1:$C$87,3,FALSE)</f>
        <v>8</v>
      </c>
      <c r="K123">
        <f t="shared" si="7"/>
        <v>1</v>
      </c>
      <c r="L123">
        <f t="shared" si="8"/>
        <v>0.11764705882352941</v>
      </c>
    </row>
    <row r="124" spans="8:12" x14ac:dyDescent="0.25">
      <c r="H124">
        <v>512</v>
      </c>
      <c r="I124">
        <v>42</v>
      </c>
      <c r="J124">
        <f>VLOOKUP(H124,$A$1:$C$87,3,FALSE)</f>
        <v>48</v>
      </c>
      <c r="K124">
        <f t="shared" si="7"/>
        <v>6</v>
      </c>
      <c r="L124">
        <f t="shared" si="8"/>
        <v>0.13333333333333333</v>
      </c>
    </row>
    <row r="125" spans="8:12" x14ac:dyDescent="0.25">
      <c r="H125">
        <v>515</v>
      </c>
      <c r="I125">
        <v>6</v>
      </c>
      <c r="J125">
        <f>VLOOKUP(H125,$A$1:$C$87,3,FALSE)</f>
        <v>4</v>
      </c>
      <c r="K125">
        <f t="shared" si="7"/>
        <v>2</v>
      </c>
      <c r="L125">
        <f t="shared" si="8"/>
        <v>0.4</v>
      </c>
    </row>
    <row r="126" spans="8:12" x14ac:dyDescent="0.25">
      <c r="H126">
        <v>518</v>
      </c>
      <c r="I126">
        <v>2</v>
      </c>
      <c r="J126">
        <f>VLOOKUP(H126,$A$1:$C$87,3,FALSE)</f>
        <v>2</v>
      </c>
      <c r="K126">
        <f t="shared" si="7"/>
        <v>0</v>
      </c>
      <c r="L126">
        <f t="shared" si="8"/>
        <v>0</v>
      </c>
    </row>
    <row r="127" spans="8:12" x14ac:dyDescent="0.25">
      <c r="H127">
        <v>529</v>
      </c>
      <c r="I127">
        <v>4</v>
      </c>
      <c r="J127">
        <f>VLOOKUP(H127,$A$1:$C$87,3,FALSE)</f>
        <v>3</v>
      </c>
      <c r="K127">
        <f t="shared" si="7"/>
        <v>1</v>
      </c>
      <c r="L127">
        <f t="shared" si="8"/>
        <v>0.2857142857142857</v>
      </c>
    </row>
    <row r="128" spans="8:12" x14ac:dyDescent="0.25">
      <c r="H128">
        <v>547</v>
      </c>
      <c r="I128">
        <v>1</v>
      </c>
      <c r="J128">
        <f>VLOOKUP(H128,$A$1:$C$87,3,FALSE)</f>
        <v>1</v>
      </c>
      <c r="K128">
        <f t="shared" si="7"/>
        <v>0</v>
      </c>
      <c r="L128">
        <f t="shared" si="8"/>
        <v>0</v>
      </c>
    </row>
    <row r="129" spans="8:12" x14ac:dyDescent="0.25">
      <c r="H129">
        <v>550</v>
      </c>
      <c r="I129">
        <v>5</v>
      </c>
      <c r="J129">
        <f>VLOOKUP(H129,$A$1:$C$87,3,FALSE)</f>
        <v>5</v>
      </c>
      <c r="K129">
        <f t="shared" si="7"/>
        <v>0</v>
      </c>
      <c r="L129">
        <f t="shared" si="8"/>
        <v>0</v>
      </c>
    </row>
    <row r="130" spans="8:12" x14ac:dyDescent="0.25">
      <c r="H130">
        <v>553</v>
      </c>
      <c r="I130">
        <v>6</v>
      </c>
      <c r="J130">
        <f>VLOOKUP(H130,$A$1:$C$87,3,FALSE)</f>
        <v>6</v>
      </c>
      <c r="K130">
        <f t="shared" si="7"/>
        <v>0</v>
      </c>
      <c r="L130">
        <f t="shared" si="8"/>
        <v>0</v>
      </c>
    </row>
    <row r="131" spans="8:12" x14ac:dyDescent="0.25">
      <c r="H131">
        <v>556</v>
      </c>
      <c r="I131">
        <v>3</v>
      </c>
      <c r="J131">
        <f>VLOOKUP(H131,$A$1:$C$87,3,FALSE)</f>
        <v>3</v>
      </c>
      <c r="K131">
        <f t="shared" si="7"/>
        <v>0</v>
      </c>
      <c r="L131">
        <f t="shared" si="8"/>
        <v>0</v>
      </c>
    </row>
    <row r="132" spans="8:12" x14ac:dyDescent="0.25">
      <c r="H132">
        <v>561</v>
      </c>
      <c r="I132">
        <v>1</v>
      </c>
      <c r="J132">
        <f>VLOOKUP(H132,$A$1:$C$87,3,FALSE)</f>
        <v>1</v>
      </c>
      <c r="K132">
        <f t="shared" si="7"/>
        <v>0</v>
      </c>
      <c r="L132">
        <f t="shared" si="8"/>
        <v>0</v>
      </c>
    </row>
    <row r="133" spans="8:12" x14ac:dyDescent="0.25">
      <c r="H133">
        <v>564</v>
      </c>
      <c r="I133">
        <v>3</v>
      </c>
      <c r="J133">
        <f>VLOOKUP(H133,$A$1:$C$87,3,FALSE)</f>
        <v>3</v>
      </c>
      <c r="K133">
        <f t="shared" si="7"/>
        <v>0</v>
      </c>
      <c r="L133">
        <f t="shared" si="8"/>
        <v>0</v>
      </c>
    </row>
    <row r="134" spans="8:12" x14ac:dyDescent="0.25">
      <c r="H134">
        <v>567</v>
      </c>
      <c r="I134">
        <v>9</v>
      </c>
      <c r="J134">
        <f>VLOOKUP(H134,$A$1:$C$87,3,FALSE)</f>
        <v>9</v>
      </c>
      <c r="K134">
        <f t="shared" si="7"/>
        <v>0</v>
      </c>
      <c r="L134">
        <f t="shared" si="8"/>
        <v>0</v>
      </c>
    </row>
    <row r="135" spans="8:12" x14ac:dyDescent="0.25">
      <c r="H135">
        <v>569</v>
      </c>
      <c r="I135">
        <v>8</v>
      </c>
      <c r="J135">
        <f>VLOOKUP(H135,$A$1:$C$87,3,FALSE)</f>
        <v>8</v>
      </c>
      <c r="K135">
        <f t="shared" si="7"/>
        <v>0</v>
      </c>
      <c r="L135">
        <f t="shared" si="8"/>
        <v>0</v>
      </c>
    </row>
    <row r="136" spans="8:12" x14ac:dyDescent="0.25">
      <c r="H136">
        <v>572</v>
      </c>
      <c r="I136">
        <v>7</v>
      </c>
      <c r="J136">
        <f>VLOOKUP(H136,$A$1:$C$87,3,FALSE)</f>
        <v>7</v>
      </c>
      <c r="K136">
        <f t="shared" si="7"/>
        <v>0</v>
      </c>
      <c r="L136">
        <f t="shared" si="8"/>
        <v>0</v>
      </c>
    </row>
    <row r="137" spans="8:12" x14ac:dyDescent="0.25">
      <c r="H137">
        <v>574</v>
      </c>
      <c r="I137">
        <v>27</v>
      </c>
      <c r="J137">
        <f>VLOOKUP(H137,$A$1:$C$87,3,FALSE)</f>
        <v>28</v>
      </c>
      <c r="K137">
        <f t="shared" si="7"/>
        <v>1</v>
      </c>
      <c r="L137">
        <f t="shared" si="8"/>
        <v>3.6363636363636362E-2</v>
      </c>
    </row>
    <row r="138" spans="8:12" x14ac:dyDescent="0.25">
      <c r="H138">
        <v>576</v>
      </c>
      <c r="I138">
        <v>13</v>
      </c>
      <c r="J138">
        <f>VLOOKUP(H138,$A$1:$C$87,3,FALSE)</f>
        <v>15</v>
      </c>
      <c r="K138">
        <f t="shared" si="7"/>
        <v>2</v>
      </c>
      <c r="L138">
        <f t="shared" si="8"/>
        <v>0.14285714285714285</v>
      </c>
    </row>
    <row r="139" spans="8:12" x14ac:dyDescent="0.25">
      <c r="H139">
        <v>577</v>
      </c>
      <c r="I139">
        <v>11</v>
      </c>
      <c r="J139">
        <f>VLOOKUP(H139,$A$1:$C$87,3,FALSE)</f>
        <v>12</v>
      </c>
      <c r="K139">
        <f t="shared" si="7"/>
        <v>1</v>
      </c>
      <c r="L139">
        <f t="shared" si="8"/>
        <v>8.6956521739130432E-2</v>
      </c>
    </row>
    <row r="140" spans="8:12" x14ac:dyDescent="0.25">
      <c r="H140">
        <v>580</v>
      </c>
      <c r="I140">
        <v>16</v>
      </c>
      <c r="J140">
        <f>VLOOKUP(H140,$A$1:$C$87,3,FALSE)</f>
        <v>16</v>
      </c>
      <c r="K140">
        <f t="shared" si="7"/>
        <v>0</v>
      </c>
      <c r="L140">
        <f t="shared" si="8"/>
        <v>0</v>
      </c>
    </row>
    <row r="141" spans="8:12" x14ac:dyDescent="0.25">
      <c r="H141">
        <v>584</v>
      </c>
      <c r="I141">
        <v>18</v>
      </c>
      <c r="J141">
        <f>VLOOKUP(H141,$A$1:$C$87,3,FALSE)</f>
        <v>19</v>
      </c>
      <c r="K141">
        <f t="shared" si="7"/>
        <v>1</v>
      </c>
      <c r="L141">
        <f t="shared" si="8"/>
        <v>5.4054054054054057E-2</v>
      </c>
    </row>
    <row r="142" spans="8:12" x14ac:dyDescent="0.25">
      <c r="H142">
        <v>586</v>
      </c>
      <c r="I142">
        <v>4</v>
      </c>
      <c r="J142">
        <f>VLOOKUP(H142,$A$1:$C$87,3,FALSE)</f>
        <v>5</v>
      </c>
      <c r="K142">
        <f t="shared" si="7"/>
        <v>1</v>
      </c>
      <c r="L142">
        <f t="shared" si="8"/>
        <v>0.22222222222222221</v>
      </c>
    </row>
    <row r="143" spans="8:12" x14ac:dyDescent="0.25">
      <c r="H143">
        <v>587</v>
      </c>
      <c r="I143">
        <v>1</v>
      </c>
      <c r="J143">
        <f>VLOOKUP(H143,$A$1:$C$87,3,FALSE)</f>
        <v>1</v>
      </c>
      <c r="K143">
        <f t="shared" si="7"/>
        <v>0</v>
      </c>
      <c r="L143">
        <f t="shared" si="8"/>
        <v>0</v>
      </c>
    </row>
    <row r="144" spans="8:12" x14ac:dyDescent="0.25">
      <c r="H144">
        <v>589</v>
      </c>
      <c r="I144">
        <v>11</v>
      </c>
      <c r="J144">
        <f>VLOOKUP(H144,$A$1:$C$87,3,FALSE)</f>
        <v>8</v>
      </c>
      <c r="K144">
        <f t="shared" si="7"/>
        <v>3</v>
      </c>
      <c r="L144">
        <f t="shared" si="8"/>
        <v>0.31578947368421051</v>
      </c>
    </row>
    <row r="145" spans="8:12" x14ac:dyDescent="0.25">
      <c r="H145">
        <v>592</v>
      </c>
      <c r="I145">
        <v>2</v>
      </c>
      <c r="J145">
        <f>VLOOKUP(H145,$A$1:$C$87,3,FALSE)</f>
        <v>1</v>
      </c>
      <c r="K145">
        <f t="shared" si="7"/>
        <v>1</v>
      </c>
      <c r="L145">
        <f t="shared" si="8"/>
        <v>0.66666666666666663</v>
      </c>
    </row>
    <row r="146" spans="8:12" x14ac:dyDescent="0.25">
      <c r="H146">
        <v>594</v>
      </c>
      <c r="I146">
        <v>3</v>
      </c>
      <c r="J146">
        <f>VLOOKUP(H146,$A$1:$C$87,3,FALSE)</f>
        <v>4</v>
      </c>
      <c r="K146">
        <f t="shared" si="7"/>
        <v>1</v>
      </c>
      <c r="L146">
        <f t="shared" si="8"/>
        <v>0.2857142857142857</v>
      </c>
    </row>
    <row r="147" spans="8:12" x14ac:dyDescent="0.25">
      <c r="H147">
        <v>596</v>
      </c>
      <c r="I147">
        <v>2</v>
      </c>
      <c r="J147">
        <f>VLOOKUP(H147,$A$1:$C$87,3,FALSE)</f>
        <v>2</v>
      </c>
      <c r="K147">
        <f t="shared" si="7"/>
        <v>0</v>
      </c>
      <c r="L147">
        <f t="shared" si="8"/>
        <v>0</v>
      </c>
    </row>
    <row r="148" spans="8:12" x14ac:dyDescent="0.25">
      <c r="H148">
        <v>601</v>
      </c>
      <c r="I148">
        <v>1</v>
      </c>
      <c r="J148">
        <f>VLOOKUP(H148,$A$1:$C$87,3,FALSE)</f>
        <v>1</v>
      </c>
      <c r="K148">
        <f t="shared" si="7"/>
        <v>0</v>
      </c>
      <c r="L148">
        <f t="shared" si="8"/>
        <v>0</v>
      </c>
    </row>
    <row r="149" spans="8:12" x14ac:dyDescent="0.25">
      <c r="H149">
        <v>621</v>
      </c>
      <c r="I149">
        <v>5</v>
      </c>
      <c r="J149">
        <f>VLOOKUP(H149,$A$1:$C$87,3,FALSE)</f>
        <v>5</v>
      </c>
      <c r="K149">
        <f t="shared" si="7"/>
        <v>0</v>
      </c>
      <c r="L149">
        <f t="shared" si="8"/>
        <v>0</v>
      </c>
    </row>
    <row r="150" spans="8:12" x14ac:dyDescent="0.25">
      <c r="H150">
        <v>624</v>
      </c>
      <c r="I150">
        <v>9</v>
      </c>
      <c r="J150">
        <f>VLOOKUP(H150,$A$1:$C$87,3,FALSE)</f>
        <v>9</v>
      </c>
      <c r="K150">
        <f t="shared" si="7"/>
        <v>0</v>
      </c>
      <c r="L150">
        <f t="shared" si="8"/>
        <v>0</v>
      </c>
    </row>
    <row r="151" spans="8:12" x14ac:dyDescent="0.25">
      <c r="H151">
        <v>627</v>
      </c>
      <c r="I151">
        <v>3</v>
      </c>
      <c r="J151">
        <f>VLOOKUP(H151,$A$1:$C$87,3,FALSE)</f>
        <v>4</v>
      </c>
      <c r="K151">
        <f t="shared" si="7"/>
        <v>1</v>
      </c>
      <c r="L151">
        <f t="shared" si="8"/>
        <v>0.2857142857142857</v>
      </c>
    </row>
    <row r="152" spans="8:12" x14ac:dyDescent="0.25">
      <c r="H152">
        <v>628</v>
      </c>
      <c r="I152">
        <v>12</v>
      </c>
      <c r="J152">
        <f>VLOOKUP(H152,$A$1:$C$87,3,FALSE)</f>
        <v>12</v>
      </c>
      <c r="K152">
        <f t="shared" si="7"/>
        <v>0</v>
      </c>
      <c r="L152">
        <f t="shared" si="8"/>
        <v>0</v>
      </c>
    </row>
    <row r="153" spans="8:12" x14ac:dyDescent="0.25">
      <c r="H153">
        <v>633</v>
      </c>
      <c r="I153">
        <v>14</v>
      </c>
      <c r="J153">
        <f>VLOOKUP(H153,$A$1:$C$87,3,FALSE)</f>
        <v>8</v>
      </c>
      <c r="K153">
        <f t="shared" si="7"/>
        <v>6</v>
      </c>
      <c r="L153">
        <f t="shared" si="8"/>
        <v>0.54545454545454541</v>
      </c>
    </row>
    <row r="154" spans="8:12" x14ac:dyDescent="0.25">
      <c r="H154">
        <v>637</v>
      </c>
      <c r="I154">
        <v>13</v>
      </c>
      <c r="J154">
        <f>VLOOKUP(H154,$A$1:$C$87,3,FALSE)</f>
        <v>16</v>
      </c>
      <c r="K154">
        <f t="shared" si="7"/>
        <v>3</v>
      </c>
      <c r="L154">
        <f t="shared" si="8"/>
        <v>0.20689655172413793</v>
      </c>
    </row>
    <row r="155" spans="8:12" x14ac:dyDescent="0.25">
      <c r="H155">
        <v>640</v>
      </c>
      <c r="I155">
        <v>13</v>
      </c>
      <c r="J155">
        <f>VLOOKUP(H155,$A$1:$C$87,3,FALSE)</f>
        <v>9</v>
      </c>
      <c r="K155">
        <f t="shared" si="7"/>
        <v>4</v>
      </c>
      <c r="L155">
        <f t="shared" si="8"/>
        <v>0.36363636363636365</v>
      </c>
    </row>
    <row r="156" spans="8:12" x14ac:dyDescent="0.25">
      <c r="H156">
        <v>645</v>
      </c>
      <c r="I156">
        <v>4</v>
      </c>
      <c r="J156">
        <f>VLOOKUP(H156,$A$1:$C$87,3,FALSE)</f>
        <v>3</v>
      </c>
      <c r="K156">
        <f t="shared" si="7"/>
        <v>1</v>
      </c>
      <c r="L156">
        <f t="shared" si="8"/>
        <v>0.2857142857142857</v>
      </c>
    </row>
    <row r="157" spans="8:12" x14ac:dyDescent="0.25">
      <c r="H157">
        <v>648</v>
      </c>
      <c r="I157">
        <v>8</v>
      </c>
      <c r="J157">
        <f>VLOOKUP(H157,$A$1:$C$87,3,FALSE)</f>
        <v>6</v>
      </c>
      <c r="K157">
        <f t="shared" si="7"/>
        <v>2</v>
      </c>
      <c r="L157">
        <f t="shared" si="8"/>
        <v>0.2857142857142857</v>
      </c>
    </row>
    <row r="158" spans="8:12" x14ac:dyDescent="0.25">
      <c r="H158">
        <v>651</v>
      </c>
      <c r="I158">
        <v>13</v>
      </c>
      <c r="J158">
        <f>VLOOKUP(H158,$A$1:$C$87,3,FALSE)</f>
        <v>13</v>
      </c>
      <c r="K158">
        <f t="shared" ref="K158:K178" si="9">ABS(J158-I158)</f>
        <v>0</v>
      </c>
      <c r="L158">
        <f t="shared" ref="L158:L178" si="10">2*K158/(I158+J158)</f>
        <v>0</v>
      </c>
    </row>
    <row r="159" spans="8:12" x14ac:dyDescent="0.25">
      <c r="H159">
        <v>655</v>
      </c>
      <c r="I159">
        <v>17</v>
      </c>
      <c r="J159">
        <f>VLOOKUP(H159,$A$1:$C$87,3,FALSE)</f>
        <v>13</v>
      </c>
      <c r="K159">
        <f t="shared" si="9"/>
        <v>4</v>
      </c>
      <c r="L159">
        <f t="shared" si="10"/>
        <v>0.26666666666666666</v>
      </c>
    </row>
    <row r="160" spans="8:12" x14ac:dyDescent="0.25">
      <c r="H160">
        <v>661</v>
      </c>
      <c r="I160">
        <v>23</v>
      </c>
      <c r="J160">
        <f>VLOOKUP(H160,$A$1:$C$87,3,FALSE)</f>
        <v>23</v>
      </c>
      <c r="K160">
        <f t="shared" si="9"/>
        <v>0</v>
      </c>
      <c r="L160">
        <f t="shared" si="10"/>
        <v>0</v>
      </c>
    </row>
    <row r="161" spans="8:12" x14ac:dyDescent="0.25">
      <c r="H161">
        <v>664</v>
      </c>
      <c r="I161">
        <v>7</v>
      </c>
      <c r="J161">
        <f>VLOOKUP(H161,$A$1:$C$87,3,FALSE)</f>
        <v>5</v>
      </c>
      <c r="K161">
        <f t="shared" si="9"/>
        <v>2</v>
      </c>
      <c r="L161">
        <f t="shared" si="10"/>
        <v>0.33333333333333331</v>
      </c>
    </row>
    <row r="162" spans="8:12" x14ac:dyDescent="0.25">
      <c r="H162">
        <v>669</v>
      </c>
      <c r="I162">
        <v>15</v>
      </c>
      <c r="J162">
        <f>VLOOKUP(H162,$A$1:$C$87,3,FALSE)</f>
        <v>15</v>
      </c>
      <c r="K162">
        <f t="shared" si="9"/>
        <v>0</v>
      </c>
      <c r="L162">
        <f t="shared" si="10"/>
        <v>0</v>
      </c>
    </row>
    <row r="163" spans="8:12" x14ac:dyDescent="0.25">
      <c r="H163">
        <v>672</v>
      </c>
      <c r="I163">
        <v>21</v>
      </c>
      <c r="J163">
        <f>VLOOKUP(H163,$A$1:$C$87,3,FALSE)</f>
        <v>21</v>
      </c>
      <c r="K163">
        <f t="shared" si="9"/>
        <v>0</v>
      </c>
      <c r="L163">
        <f t="shared" si="10"/>
        <v>0</v>
      </c>
    </row>
    <row r="164" spans="8:12" x14ac:dyDescent="0.25">
      <c r="H164">
        <v>676</v>
      </c>
      <c r="I164">
        <v>25</v>
      </c>
      <c r="J164">
        <f>VLOOKUP(H164,$A$1:$C$87,3,FALSE)</f>
        <v>25</v>
      </c>
      <c r="K164">
        <f t="shared" si="9"/>
        <v>0</v>
      </c>
      <c r="L164">
        <f t="shared" si="10"/>
        <v>0</v>
      </c>
    </row>
    <row r="165" spans="8:12" x14ac:dyDescent="0.25">
      <c r="H165">
        <v>678</v>
      </c>
      <c r="I165">
        <v>18</v>
      </c>
      <c r="J165">
        <f>VLOOKUP(H165,$A$1:$C$87,3,FALSE)</f>
        <v>18</v>
      </c>
      <c r="K165">
        <f t="shared" si="9"/>
        <v>0</v>
      </c>
      <c r="L165">
        <f t="shared" si="10"/>
        <v>0</v>
      </c>
    </row>
    <row r="166" spans="8:12" x14ac:dyDescent="0.25">
      <c r="H166">
        <v>681</v>
      </c>
      <c r="I166">
        <v>8</v>
      </c>
      <c r="J166">
        <f>VLOOKUP(H166,$A$1:$C$87,3,FALSE)</f>
        <v>8</v>
      </c>
      <c r="K166">
        <f t="shared" si="9"/>
        <v>0</v>
      </c>
      <c r="L166">
        <f t="shared" si="10"/>
        <v>0</v>
      </c>
    </row>
    <row r="167" spans="8:12" x14ac:dyDescent="0.25">
      <c r="H167">
        <v>684</v>
      </c>
      <c r="I167">
        <v>7</v>
      </c>
      <c r="J167">
        <f>VLOOKUP(H167,$A$1:$C$87,3,FALSE)</f>
        <v>7</v>
      </c>
      <c r="K167">
        <f t="shared" si="9"/>
        <v>0</v>
      </c>
      <c r="L167">
        <f t="shared" si="10"/>
        <v>0</v>
      </c>
    </row>
    <row r="168" spans="8:12" x14ac:dyDescent="0.25">
      <c r="H168">
        <v>689</v>
      </c>
      <c r="I168">
        <v>16</v>
      </c>
      <c r="J168">
        <f>VLOOKUP(H168,$A$1:$C$87,3,FALSE)</f>
        <v>16</v>
      </c>
      <c r="K168">
        <f t="shared" si="9"/>
        <v>0</v>
      </c>
      <c r="L168">
        <f t="shared" si="10"/>
        <v>0</v>
      </c>
    </row>
    <row r="169" spans="8:12" x14ac:dyDescent="0.25">
      <c r="H169">
        <v>693</v>
      </c>
      <c r="I169">
        <v>1</v>
      </c>
      <c r="J169">
        <f>VLOOKUP(H169,$A$1:$C$87,3,FALSE)</f>
        <v>1</v>
      </c>
      <c r="K169">
        <f t="shared" si="9"/>
        <v>0</v>
      </c>
      <c r="L169">
        <f t="shared" si="10"/>
        <v>0</v>
      </c>
    </row>
    <row r="170" spans="8:12" x14ac:dyDescent="0.25">
      <c r="H170">
        <v>702</v>
      </c>
      <c r="I170">
        <v>2</v>
      </c>
      <c r="J170">
        <f>VLOOKUP(H170,$A$1:$C$87,3,FALSE)</f>
        <v>1</v>
      </c>
      <c r="K170">
        <f t="shared" si="9"/>
        <v>1</v>
      </c>
      <c r="L170">
        <f t="shared" si="10"/>
        <v>0.66666666666666663</v>
      </c>
    </row>
    <row r="171" spans="8:12" x14ac:dyDescent="0.25">
      <c r="H171">
        <v>712</v>
      </c>
      <c r="I171">
        <v>3</v>
      </c>
      <c r="J171">
        <f>VLOOKUP(H171,$A$1:$C$87,3,FALSE)</f>
        <v>1</v>
      </c>
      <c r="K171">
        <f t="shared" si="9"/>
        <v>2</v>
      </c>
      <c r="L171">
        <f t="shared" si="10"/>
        <v>1</v>
      </c>
    </row>
    <row r="172" spans="8:12" x14ac:dyDescent="0.25">
      <c r="H172">
        <v>716</v>
      </c>
      <c r="I172">
        <v>5</v>
      </c>
      <c r="J172">
        <f>VLOOKUP(H172,$A$1:$C$87,3,FALSE)</f>
        <v>5</v>
      </c>
      <c r="K172">
        <f t="shared" si="9"/>
        <v>0</v>
      </c>
      <c r="L172">
        <f t="shared" si="10"/>
        <v>0</v>
      </c>
    </row>
    <row r="173" spans="8:12" x14ac:dyDescent="0.25">
      <c r="H173">
        <v>721</v>
      </c>
      <c r="I173">
        <v>1</v>
      </c>
      <c r="J173">
        <f>VLOOKUP(H173,$A$1:$C$87,3,FALSE)</f>
        <v>1</v>
      </c>
      <c r="K173">
        <f t="shared" si="9"/>
        <v>0</v>
      </c>
      <c r="L173">
        <f t="shared" si="10"/>
        <v>0</v>
      </c>
    </row>
    <row r="174" spans="8:12" x14ac:dyDescent="0.25">
      <c r="H174">
        <v>723</v>
      </c>
      <c r="I174">
        <v>7</v>
      </c>
      <c r="J174">
        <f>VLOOKUP(H174,$A$1:$C$87,3,FALSE)</f>
        <v>5</v>
      </c>
      <c r="K174">
        <f t="shared" si="9"/>
        <v>2</v>
      </c>
      <c r="L174">
        <f t="shared" si="10"/>
        <v>0.33333333333333331</v>
      </c>
    </row>
    <row r="175" spans="8:12" x14ac:dyDescent="0.25">
      <c r="H175">
        <v>725</v>
      </c>
      <c r="I175">
        <v>19</v>
      </c>
      <c r="J175">
        <f>VLOOKUP(H175,$A$1:$C$87,3,FALSE)</f>
        <v>18</v>
      </c>
      <c r="K175">
        <f t="shared" si="9"/>
        <v>1</v>
      </c>
      <c r="L175">
        <f t="shared" si="10"/>
        <v>5.4054054054054057E-2</v>
      </c>
    </row>
    <row r="176" spans="8:12" x14ac:dyDescent="0.25">
      <c r="H176">
        <v>728</v>
      </c>
      <c r="I176">
        <v>12</v>
      </c>
      <c r="J176">
        <f>VLOOKUP(H176,$A$1:$C$87,3,FALSE)</f>
        <v>13</v>
      </c>
      <c r="K176">
        <f t="shared" si="9"/>
        <v>1</v>
      </c>
      <c r="L176">
        <f t="shared" si="10"/>
        <v>0.08</v>
      </c>
    </row>
    <row r="177" spans="8:12" x14ac:dyDescent="0.25">
      <c r="H177">
        <v>731</v>
      </c>
      <c r="I177">
        <v>14</v>
      </c>
      <c r="J177">
        <f>VLOOKUP(H177,$A$1:$C$87,3,FALSE)</f>
        <v>15</v>
      </c>
      <c r="K177">
        <f t="shared" si="9"/>
        <v>1</v>
      </c>
      <c r="L177">
        <f t="shared" si="10"/>
        <v>6.8965517241379309E-2</v>
      </c>
    </row>
    <row r="178" spans="8:12" x14ac:dyDescent="0.25">
      <c r="H178">
        <v>734</v>
      </c>
      <c r="I178">
        <v>3</v>
      </c>
      <c r="J178">
        <f>VLOOKUP(H178,$A$1:$C$87,3,FALSE)</f>
        <v>3</v>
      </c>
      <c r="K178">
        <f t="shared" si="9"/>
        <v>0</v>
      </c>
      <c r="L178">
        <f t="shared" si="10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5525-5725-432D-8CC7-0A0B7E5373EF}">
  <dimension ref="D2:T237"/>
  <sheetViews>
    <sheetView topLeftCell="G121" zoomScale="130" zoomScaleNormal="130" workbookViewId="0">
      <selection activeCell="R3" sqref="R3"/>
    </sheetView>
  </sheetViews>
  <sheetFormatPr baseColWidth="10" defaultRowHeight="15" x14ac:dyDescent="0.25"/>
  <sheetData>
    <row r="2" spans="4:20" x14ac:dyDescent="0.25">
      <c r="D2" t="s">
        <v>0</v>
      </c>
      <c r="E2" t="s">
        <v>1</v>
      </c>
      <c r="F2" t="s">
        <v>2</v>
      </c>
      <c r="N2" t="s">
        <v>27</v>
      </c>
      <c r="R2" t="s">
        <v>28</v>
      </c>
    </row>
    <row r="3" spans="4:20" x14ac:dyDescent="0.25">
      <c r="D3">
        <v>222</v>
      </c>
      <c r="E3" t="s">
        <v>4</v>
      </c>
      <c r="F3">
        <v>10</v>
      </c>
      <c r="M3" t="s">
        <v>0</v>
      </c>
      <c r="N3" t="s">
        <v>16</v>
      </c>
      <c r="O3" t="s">
        <v>2</v>
      </c>
      <c r="P3" t="s">
        <v>17</v>
      </c>
      <c r="Q3" t="s">
        <v>20</v>
      </c>
      <c r="R3" t="s">
        <v>21</v>
      </c>
      <c r="S3" t="s">
        <v>23</v>
      </c>
      <c r="T3" t="s">
        <v>26</v>
      </c>
    </row>
    <row r="4" spans="4:20" x14ac:dyDescent="0.25">
      <c r="D4">
        <v>362</v>
      </c>
      <c r="E4" t="s">
        <v>4</v>
      </c>
      <c r="F4">
        <v>9</v>
      </c>
      <c r="M4">
        <v>371</v>
      </c>
      <c r="N4">
        <v>28</v>
      </c>
      <c r="O4">
        <f>VLOOKUP(M4,$D$2:$F$119,3,FALSE)</f>
        <v>33</v>
      </c>
      <c r="P4">
        <f>ABS(N4-O4)</f>
        <v>5</v>
      </c>
      <c r="Q4">
        <f>P4/(N4+O4)*2</f>
        <v>0.16393442622950818</v>
      </c>
      <c r="R4">
        <v>38</v>
      </c>
      <c r="S4">
        <f>ABS(O4-R4)</f>
        <v>5</v>
      </c>
      <c r="T4">
        <f>2*S4/(O4+R4)</f>
        <v>0.14084507042253522</v>
      </c>
    </row>
    <row r="5" spans="4:20" x14ac:dyDescent="0.25">
      <c r="D5">
        <v>371</v>
      </c>
      <c r="E5" t="s">
        <v>4</v>
      </c>
      <c r="F5">
        <v>33</v>
      </c>
      <c r="M5">
        <v>378</v>
      </c>
      <c r="N5">
        <v>35</v>
      </c>
      <c r="O5">
        <f t="shared" ref="O5:O68" si="0">VLOOKUP(M5,$D$2:$F$119,3,FALSE)</f>
        <v>51</v>
      </c>
      <c r="P5">
        <f t="shared" ref="P5:P68" si="1">ABS(N5-O5)</f>
        <v>16</v>
      </c>
      <c r="Q5">
        <f t="shared" ref="Q5:Q68" si="2">P5/(N5+O5)*2</f>
        <v>0.37209302325581395</v>
      </c>
      <c r="R5">
        <v>54</v>
      </c>
      <c r="S5">
        <f t="shared" ref="S5:S68" si="3">ABS(O5-R5)</f>
        <v>3</v>
      </c>
      <c r="T5">
        <f t="shared" ref="T5:T68" si="4">2*S5/(O5+R5)</f>
        <v>5.7142857142857141E-2</v>
      </c>
    </row>
    <row r="6" spans="4:20" x14ac:dyDescent="0.25">
      <c r="D6">
        <v>378</v>
      </c>
      <c r="E6" t="s">
        <v>4</v>
      </c>
      <c r="F6">
        <v>51</v>
      </c>
      <c r="H6" t="s">
        <v>22</v>
      </c>
      <c r="M6">
        <v>380</v>
      </c>
      <c r="N6">
        <v>44</v>
      </c>
      <c r="O6">
        <f t="shared" si="0"/>
        <v>94</v>
      </c>
      <c r="P6">
        <f t="shared" si="1"/>
        <v>50</v>
      </c>
      <c r="Q6">
        <f t="shared" si="2"/>
        <v>0.72463768115942029</v>
      </c>
      <c r="R6">
        <v>93</v>
      </c>
      <c r="S6">
        <f t="shared" si="3"/>
        <v>1</v>
      </c>
      <c r="T6">
        <f t="shared" si="4"/>
        <v>1.06951871657754E-2</v>
      </c>
    </row>
    <row r="7" spans="4:20" x14ac:dyDescent="0.25">
      <c r="D7">
        <v>380</v>
      </c>
      <c r="E7" t="s">
        <v>4</v>
      </c>
      <c r="F7">
        <v>94</v>
      </c>
      <c r="H7" t="s">
        <v>18</v>
      </c>
      <c r="I7">
        <f>AVERAGE(P4:P118)</f>
        <v>15.443478260869565</v>
      </c>
      <c r="M7">
        <v>384</v>
      </c>
      <c r="N7">
        <v>113</v>
      </c>
      <c r="O7">
        <f t="shared" si="0"/>
        <v>147</v>
      </c>
      <c r="P7">
        <f t="shared" si="1"/>
        <v>34</v>
      </c>
      <c r="Q7">
        <f t="shared" si="2"/>
        <v>0.26153846153846155</v>
      </c>
      <c r="R7">
        <v>143</v>
      </c>
      <c r="S7">
        <f t="shared" si="3"/>
        <v>4</v>
      </c>
      <c r="T7">
        <f t="shared" si="4"/>
        <v>2.7586206896551724E-2</v>
      </c>
    </row>
    <row r="8" spans="4:20" x14ac:dyDescent="0.25">
      <c r="D8">
        <v>384</v>
      </c>
      <c r="E8" t="s">
        <v>4</v>
      </c>
      <c r="F8">
        <v>147</v>
      </c>
      <c r="H8" t="s">
        <v>19</v>
      </c>
      <c r="I8" s="2">
        <f>AVERAGE(Q4:Q118)</f>
        <v>0.21140313113907816</v>
      </c>
      <c r="M8">
        <v>389</v>
      </c>
      <c r="N8">
        <v>107</v>
      </c>
      <c r="O8">
        <f t="shared" si="0"/>
        <v>172</v>
      </c>
      <c r="P8">
        <f t="shared" si="1"/>
        <v>65</v>
      </c>
      <c r="Q8">
        <f t="shared" si="2"/>
        <v>0.46594982078853048</v>
      </c>
      <c r="R8">
        <v>158</v>
      </c>
      <c r="S8">
        <f t="shared" si="3"/>
        <v>14</v>
      </c>
      <c r="T8">
        <f t="shared" si="4"/>
        <v>8.4848484848484854E-2</v>
      </c>
    </row>
    <row r="9" spans="4:20" x14ac:dyDescent="0.25">
      <c r="D9">
        <v>389</v>
      </c>
      <c r="E9" t="s">
        <v>4</v>
      </c>
      <c r="F9">
        <v>172</v>
      </c>
      <c r="M9">
        <v>393</v>
      </c>
      <c r="N9">
        <v>124</v>
      </c>
      <c r="O9">
        <f t="shared" si="0"/>
        <v>191</v>
      </c>
      <c r="P9">
        <f t="shared" si="1"/>
        <v>67</v>
      </c>
      <c r="Q9">
        <f t="shared" si="2"/>
        <v>0.42539682539682538</v>
      </c>
      <c r="R9">
        <v>179</v>
      </c>
      <c r="S9">
        <f t="shared" si="3"/>
        <v>12</v>
      </c>
      <c r="T9">
        <f t="shared" si="4"/>
        <v>6.4864864864864868E-2</v>
      </c>
    </row>
    <row r="10" spans="4:20" x14ac:dyDescent="0.25">
      <c r="D10">
        <v>393</v>
      </c>
      <c r="E10" t="s">
        <v>4</v>
      </c>
      <c r="F10">
        <v>191</v>
      </c>
      <c r="M10">
        <v>397</v>
      </c>
      <c r="N10">
        <v>155</v>
      </c>
      <c r="O10">
        <f t="shared" si="0"/>
        <v>196</v>
      </c>
      <c r="P10">
        <f t="shared" si="1"/>
        <v>41</v>
      </c>
      <c r="Q10">
        <f t="shared" si="2"/>
        <v>0.23361823361823361</v>
      </c>
      <c r="R10">
        <v>184</v>
      </c>
      <c r="S10">
        <f t="shared" si="3"/>
        <v>12</v>
      </c>
      <c r="T10">
        <f t="shared" si="4"/>
        <v>6.3157894736842107E-2</v>
      </c>
    </row>
    <row r="11" spans="4:20" x14ac:dyDescent="0.25">
      <c r="D11">
        <v>397</v>
      </c>
      <c r="E11" t="s">
        <v>4</v>
      </c>
      <c r="F11">
        <v>196</v>
      </c>
      <c r="M11">
        <v>402</v>
      </c>
      <c r="N11">
        <v>151</v>
      </c>
      <c r="O11">
        <f t="shared" si="0"/>
        <v>186</v>
      </c>
      <c r="P11">
        <f t="shared" si="1"/>
        <v>35</v>
      </c>
      <c r="Q11">
        <f t="shared" si="2"/>
        <v>0.20771513353115728</v>
      </c>
      <c r="R11">
        <v>180</v>
      </c>
      <c r="S11">
        <f t="shared" si="3"/>
        <v>6</v>
      </c>
      <c r="T11">
        <f t="shared" si="4"/>
        <v>3.2786885245901641E-2</v>
      </c>
    </row>
    <row r="12" spans="4:20" x14ac:dyDescent="0.25">
      <c r="D12">
        <v>402</v>
      </c>
      <c r="E12" t="s">
        <v>4</v>
      </c>
      <c r="F12">
        <v>186</v>
      </c>
      <c r="H12" t="s">
        <v>24</v>
      </c>
      <c r="M12">
        <v>405</v>
      </c>
      <c r="N12">
        <v>161</v>
      </c>
      <c r="O12">
        <f t="shared" si="0"/>
        <v>187</v>
      </c>
      <c r="P12">
        <f t="shared" si="1"/>
        <v>26</v>
      </c>
      <c r="Q12">
        <f t="shared" si="2"/>
        <v>0.14942528735632185</v>
      </c>
      <c r="R12">
        <v>173</v>
      </c>
      <c r="S12">
        <f t="shared" si="3"/>
        <v>14</v>
      </c>
      <c r="T12">
        <f t="shared" si="4"/>
        <v>7.7777777777777779E-2</v>
      </c>
    </row>
    <row r="13" spans="4:20" x14ac:dyDescent="0.25">
      <c r="D13">
        <v>405</v>
      </c>
      <c r="E13" t="s">
        <v>4</v>
      </c>
      <c r="F13">
        <v>187</v>
      </c>
      <c r="H13" t="s">
        <v>18</v>
      </c>
      <c r="I13">
        <f>AVERAGE(S4:S118)</f>
        <v>4.2695652173913041</v>
      </c>
      <c r="M13">
        <v>408</v>
      </c>
      <c r="N13">
        <v>201</v>
      </c>
      <c r="O13">
        <f t="shared" si="0"/>
        <v>220</v>
      </c>
      <c r="P13">
        <f t="shared" si="1"/>
        <v>19</v>
      </c>
      <c r="Q13">
        <f t="shared" si="2"/>
        <v>9.0261282660332537E-2</v>
      </c>
      <c r="R13">
        <v>214</v>
      </c>
      <c r="S13">
        <f t="shared" si="3"/>
        <v>6</v>
      </c>
      <c r="T13">
        <f t="shared" si="4"/>
        <v>2.7649769585253458E-2</v>
      </c>
    </row>
    <row r="14" spans="4:20" x14ac:dyDescent="0.25">
      <c r="D14">
        <v>408</v>
      </c>
      <c r="E14" t="s">
        <v>4</v>
      </c>
      <c r="F14">
        <v>220</v>
      </c>
      <c r="H14" t="s">
        <v>25</v>
      </c>
      <c r="I14" s="2">
        <f>AVERAGE(T4:T118)</f>
        <v>9.4306782255471205E-2</v>
      </c>
      <c r="M14">
        <v>411</v>
      </c>
      <c r="N14">
        <v>167</v>
      </c>
      <c r="O14">
        <f t="shared" si="0"/>
        <v>194</v>
      </c>
      <c r="P14">
        <f t="shared" si="1"/>
        <v>27</v>
      </c>
      <c r="Q14">
        <f t="shared" si="2"/>
        <v>0.14958448753462603</v>
      </c>
      <c r="R14">
        <v>187</v>
      </c>
      <c r="S14">
        <f t="shared" si="3"/>
        <v>7</v>
      </c>
      <c r="T14">
        <f t="shared" si="4"/>
        <v>3.6745406824146981E-2</v>
      </c>
    </row>
    <row r="15" spans="4:20" x14ac:dyDescent="0.25">
      <c r="D15">
        <v>411</v>
      </c>
      <c r="E15" t="s">
        <v>4</v>
      </c>
      <c r="F15">
        <v>194</v>
      </c>
      <c r="M15">
        <v>416</v>
      </c>
      <c r="N15">
        <v>162</v>
      </c>
      <c r="O15">
        <f t="shared" si="0"/>
        <v>223</v>
      </c>
      <c r="P15">
        <f t="shared" si="1"/>
        <v>61</v>
      </c>
      <c r="Q15">
        <f t="shared" si="2"/>
        <v>0.31688311688311688</v>
      </c>
      <c r="R15">
        <v>201</v>
      </c>
      <c r="S15">
        <f t="shared" si="3"/>
        <v>22</v>
      </c>
      <c r="T15">
        <f t="shared" si="4"/>
        <v>0.10377358490566038</v>
      </c>
    </row>
    <row r="16" spans="4:20" x14ac:dyDescent="0.25">
      <c r="D16">
        <v>416</v>
      </c>
      <c r="E16" t="s">
        <v>4</v>
      </c>
      <c r="F16">
        <v>223</v>
      </c>
      <c r="M16">
        <v>419</v>
      </c>
      <c r="N16">
        <v>171</v>
      </c>
      <c r="O16">
        <f t="shared" si="0"/>
        <v>171</v>
      </c>
      <c r="P16">
        <f t="shared" si="1"/>
        <v>0</v>
      </c>
      <c r="Q16">
        <f t="shared" si="2"/>
        <v>0</v>
      </c>
      <c r="R16">
        <v>171</v>
      </c>
      <c r="S16">
        <f t="shared" si="3"/>
        <v>0</v>
      </c>
      <c r="T16">
        <f t="shared" si="4"/>
        <v>0</v>
      </c>
    </row>
    <row r="17" spans="4:20" x14ac:dyDescent="0.25">
      <c r="D17">
        <v>419</v>
      </c>
      <c r="E17" t="s">
        <v>4</v>
      </c>
      <c r="F17">
        <v>171</v>
      </c>
      <c r="M17">
        <v>422</v>
      </c>
      <c r="N17">
        <v>159</v>
      </c>
      <c r="O17">
        <f t="shared" si="0"/>
        <v>171</v>
      </c>
      <c r="P17">
        <f t="shared" si="1"/>
        <v>12</v>
      </c>
      <c r="Q17">
        <f t="shared" si="2"/>
        <v>7.2727272727272724E-2</v>
      </c>
      <c r="R17">
        <v>170</v>
      </c>
      <c r="S17">
        <f t="shared" si="3"/>
        <v>1</v>
      </c>
      <c r="T17">
        <f t="shared" si="4"/>
        <v>5.8651026392961877E-3</v>
      </c>
    </row>
    <row r="18" spans="4:20" x14ac:dyDescent="0.25">
      <c r="D18">
        <v>422</v>
      </c>
      <c r="E18" t="s">
        <v>4</v>
      </c>
      <c r="F18">
        <v>171</v>
      </c>
      <c r="M18">
        <v>425</v>
      </c>
      <c r="N18">
        <v>169</v>
      </c>
      <c r="O18">
        <f t="shared" si="0"/>
        <v>168</v>
      </c>
      <c r="P18">
        <f t="shared" si="1"/>
        <v>1</v>
      </c>
      <c r="Q18">
        <f t="shared" si="2"/>
        <v>5.9347181008902079E-3</v>
      </c>
      <c r="R18">
        <v>163</v>
      </c>
      <c r="S18">
        <f t="shared" si="3"/>
        <v>5</v>
      </c>
      <c r="T18">
        <f t="shared" si="4"/>
        <v>3.0211480362537766E-2</v>
      </c>
    </row>
    <row r="19" spans="4:20" x14ac:dyDescent="0.25">
      <c r="D19">
        <v>425</v>
      </c>
      <c r="E19" t="s">
        <v>4</v>
      </c>
      <c r="F19">
        <v>168</v>
      </c>
      <c r="M19">
        <v>428</v>
      </c>
      <c r="N19">
        <v>131</v>
      </c>
      <c r="O19">
        <f t="shared" si="0"/>
        <v>149</v>
      </c>
      <c r="P19">
        <f t="shared" si="1"/>
        <v>18</v>
      </c>
      <c r="Q19">
        <f t="shared" si="2"/>
        <v>0.12857142857142856</v>
      </c>
      <c r="R19">
        <v>155</v>
      </c>
      <c r="S19">
        <f t="shared" si="3"/>
        <v>6</v>
      </c>
      <c r="T19">
        <f t="shared" si="4"/>
        <v>3.9473684210526314E-2</v>
      </c>
    </row>
    <row r="20" spans="4:20" x14ac:dyDescent="0.25">
      <c r="D20">
        <v>428</v>
      </c>
      <c r="E20" t="s">
        <v>4</v>
      </c>
      <c r="F20">
        <v>149</v>
      </c>
      <c r="M20">
        <v>431</v>
      </c>
      <c r="N20">
        <v>115</v>
      </c>
      <c r="O20">
        <f t="shared" si="0"/>
        <v>124</v>
      </c>
      <c r="P20">
        <f t="shared" si="1"/>
        <v>9</v>
      </c>
      <c r="Q20">
        <f t="shared" si="2"/>
        <v>7.5313807531380755E-2</v>
      </c>
      <c r="R20">
        <v>120</v>
      </c>
      <c r="S20">
        <f t="shared" si="3"/>
        <v>4</v>
      </c>
      <c r="T20">
        <f t="shared" si="4"/>
        <v>3.2786885245901641E-2</v>
      </c>
    </row>
    <row r="21" spans="4:20" x14ac:dyDescent="0.25">
      <c r="D21">
        <v>431</v>
      </c>
      <c r="E21" t="s">
        <v>4</v>
      </c>
      <c r="F21">
        <v>124</v>
      </c>
      <c r="M21">
        <v>433</v>
      </c>
      <c r="N21">
        <v>142</v>
      </c>
      <c r="O21">
        <f t="shared" si="0"/>
        <v>177</v>
      </c>
      <c r="P21">
        <f t="shared" si="1"/>
        <v>35</v>
      </c>
      <c r="Q21">
        <f t="shared" si="2"/>
        <v>0.21943573667711599</v>
      </c>
      <c r="R21">
        <v>166</v>
      </c>
      <c r="S21">
        <f t="shared" si="3"/>
        <v>11</v>
      </c>
      <c r="T21">
        <f t="shared" si="4"/>
        <v>6.4139941690962099E-2</v>
      </c>
    </row>
    <row r="22" spans="4:20" x14ac:dyDescent="0.25">
      <c r="D22">
        <v>433</v>
      </c>
      <c r="E22" t="s">
        <v>4</v>
      </c>
      <c r="F22">
        <v>177</v>
      </c>
      <c r="M22">
        <v>436</v>
      </c>
      <c r="N22">
        <v>163</v>
      </c>
      <c r="O22">
        <f t="shared" si="0"/>
        <v>230</v>
      </c>
      <c r="P22">
        <f t="shared" si="1"/>
        <v>67</v>
      </c>
      <c r="Q22">
        <f t="shared" si="2"/>
        <v>0.34096692111959287</v>
      </c>
      <c r="R22">
        <v>228</v>
      </c>
      <c r="S22">
        <f t="shared" si="3"/>
        <v>2</v>
      </c>
      <c r="T22">
        <f t="shared" si="4"/>
        <v>8.7336244541484712E-3</v>
      </c>
    </row>
    <row r="23" spans="4:20" x14ac:dyDescent="0.25">
      <c r="D23">
        <v>436</v>
      </c>
      <c r="E23" t="s">
        <v>4</v>
      </c>
      <c r="F23">
        <v>230</v>
      </c>
      <c r="M23">
        <v>440</v>
      </c>
      <c r="N23">
        <v>138</v>
      </c>
      <c r="O23">
        <f t="shared" si="0"/>
        <v>211</v>
      </c>
      <c r="P23">
        <f t="shared" si="1"/>
        <v>73</v>
      </c>
      <c r="Q23">
        <f t="shared" si="2"/>
        <v>0.41833810888252149</v>
      </c>
      <c r="R23">
        <v>197</v>
      </c>
      <c r="S23">
        <f t="shared" si="3"/>
        <v>14</v>
      </c>
      <c r="T23">
        <f t="shared" si="4"/>
        <v>6.8627450980392163E-2</v>
      </c>
    </row>
    <row r="24" spans="4:20" x14ac:dyDescent="0.25">
      <c r="D24">
        <v>440</v>
      </c>
      <c r="E24" t="s">
        <v>4</v>
      </c>
      <c r="F24">
        <v>211</v>
      </c>
      <c r="M24">
        <v>443</v>
      </c>
      <c r="N24">
        <v>131</v>
      </c>
      <c r="O24">
        <f t="shared" si="0"/>
        <v>164</v>
      </c>
      <c r="P24">
        <f t="shared" si="1"/>
        <v>33</v>
      </c>
      <c r="Q24">
        <f t="shared" si="2"/>
        <v>0.22372881355932203</v>
      </c>
      <c r="R24">
        <v>155</v>
      </c>
      <c r="S24">
        <f t="shared" si="3"/>
        <v>9</v>
      </c>
      <c r="T24">
        <f t="shared" si="4"/>
        <v>5.6426332288401257E-2</v>
      </c>
    </row>
    <row r="25" spans="4:20" x14ac:dyDescent="0.25">
      <c r="D25">
        <v>443</v>
      </c>
      <c r="E25" t="s">
        <v>4</v>
      </c>
      <c r="F25">
        <v>164</v>
      </c>
      <c r="M25">
        <v>446</v>
      </c>
      <c r="N25">
        <v>134</v>
      </c>
      <c r="O25">
        <f t="shared" si="0"/>
        <v>221</v>
      </c>
      <c r="P25">
        <f t="shared" si="1"/>
        <v>87</v>
      </c>
      <c r="Q25">
        <f t="shared" si="2"/>
        <v>0.49014084507042255</v>
      </c>
      <c r="R25">
        <v>200</v>
      </c>
      <c r="S25">
        <f t="shared" si="3"/>
        <v>21</v>
      </c>
      <c r="T25">
        <f t="shared" si="4"/>
        <v>9.9762470308788598E-2</v>
      </c>
    </row>
    <row r="26" spans="4:20" x14ac:dyDescent="0.25">
      <c r="D26">
        <v>446</v>
      </c>
      <c r="E26" t="s">
        <v>4</v>
      </c>
      <c r="F26">
        <v>221</v>
      </c>
      <c r="M26">
        <v>450</v>
      </c>
      <c r="N26">
        <v>123</v>
      </c>
      <c r="O26">
        <f t="shared" si="0"/>
        <v>187</v>
      </c>
      <c r="P26">
        <f t="shared" si="1"/>
        <v>64</v>
      </c>
      <c r="Q26">
        <f t="shared" si="2"/>
        <v>0.41290322580645161</v>
      </c>
      <c r="R26">
        <v>174</v>
      </c>
      <c r="S26">
        <f t="shared" si="3"/>
        <v>13</v>
      </c>
      <c r="T26">
        <f t="shared" si="4"/>
        <v>7.2022160664819951E-2</v>
      </c>
    </row>
    <row r="27" spans="4:20" x14ac:dyDescent="0.25">
      <c r="D27">
        <v>450</v>
      </c>
      <c r="E27" t="s">
        <v>4</v>
      </c>
      <c r="F27">
        <v>187</v>
      </c>
      <c r="M27">
        <v>453</v>
      </c>
      <c r="N27">
        <v>63</v>
      </c>
      <c r="O27">
        <f t="shared" si="0"/>
        <v>94</v>
      </c>
      <c r="P27">
        <f t="shared" si="1"/>
        <v>31</v>
      </c>
      <c r="Q27">
        <f t="shared" si="2"/>
        <v>0.39490445859872614</v>
      </c>
      <c r="R27">
        <v>81</v>
      </c>
      <c r="S27">
        <f t="shared" si="3"/>
        <v>13</v>
      </c>
      <c r="T27">
        <f t="shared" si="4"/>
        <v>0.14857142857142858</v>
      </c>
    </row>
    <row r="28" spans="4:20" x14ac:dyDescent="0.25">
      <c r="D28">
        <v>453</v>
      </c>
      <c r="E28" t="s">
        <v>4</v>
      </c>
      <c r="F28">
        <v>94</v>
      </c>
      <c r="M28">
        <v>455</v>
      </c>
      <c r="N28">
        <v>134</v>
      </c>
      <c r="O28">
        <f t="shared" si="0"/>
        <v>234</v>
      </c>
      <c r="P28">
        <f t="shared" si="1"/>
        <v>100</v>
      </c>
      <c r="Q28">
        <f t="shared" si="2"/>
        <v>0.54347826086956519</v>
      </c>
      <c r="R28">
        <v>223</v>
      </c>
      <c r="S28">
        <f t="shared" si="3"/>
        <v>11</v>
      </c>
      <c r="T28">
        <f t="shared" si="4"/>
        <v>4.8140043763676151E-2</v>
      </c>
    </row>
    <row r="29" spans="4:20" x14ac:dyDescent="0.25">
      <c r="D29">
        <v>455</v>
      </c>
      <c r="E29" t="s">
        <v>4</v>
      </c>
      <c r="F29">
        <v>234</v>
      </c>
      <c r="M29">
        <v>458</v>
      </c>
      <c r="N29">
        <v>147</v>
      </c>
      <c r="O29">
        <f t="shared" si="0"/>
        <v>234</v>
      </c>
      <c r="P29">
        <f t="shared" si="1"/>
        <v>87</v>
      </c>
      <c r="Q29">
        <f t="shared" si="2"/>
        <v>0.45669291338582679</v>
      </c>
      <c r="R29">
        <v>234</v>
      </c>
      <c r="S29">
        <f t="shared" si="3"/>
        <v>0</v>
      </c>
      <c r="T29">
        <f t="shared" si="4"/>
        <v>0</v>
      </c>
    </row>
    <row r="30" spans="4:20" x14ac:dyDescent="0.25">
      <c r="D30">
        <v>458</v>
      </c>
      <c r="E30" t="s">
        <v>4</v>
      </c>
      <c r="F30">
        <v>234</v>
      </c>
      <c r="M30">
        <v>461</v>
      </c>
      <c r="N30">
        <v>200</v>
      </c>
      <c r="O30">
        <f t="shared" si="0"/>
        <v>203</v>
      </c>
      <c r="P30">
        <f t="shared" si="1"/>
        <v>3</v>
      </c>
      <c r="Q30">
        <f t="shared" si="2"/>
        <v>1.488833746898263E-2</v>
      </c>
      <c r="R30">
        <v>205</v>
      </c>
      <c r="S30">
        <f t="shared" si="3"/>
        <v>2</v>
      </c>
      <c r="T30">
        <f t="shared" si="4"/>
        <v>9.8039215686274508E-3</v>
      </c>
    </row>
    <row r="31" spans="4:20" x14ac:dyDescent="0.25">
      <c r="D31">
        <v>461</v>
      </c>
      <c r="E31" t="s">
        <v>4</v>
      </c>
      <c r="F31">
        <v>203</v>
      </c>
      <c r="M31">
        <v>466</v>
      </c>
      <c r="N31">
        <v>178</v>
      </c>
      <c r="O31">
        <f t="shared" si="0"/>
        <v>255</v>
      </c>
      <c r="P31">
        <f t="shared" si="1"/>
        <v>77</v>
      </c>
      <c r="Q31">
        <f t="shared" si="2"/>
        <v>0.35565819861431869</v>
      </c>
      <c r="R31">
        <v>247</v>
      </c>
      <c r="S31">
        <f t="shared" si="3"/>
        <v>8</v>
      </c>
      <c r="T31">
        <f t="shared" si="4"/>
        <v>3.1872509960159362E-2</v>
      </c>
    </row>
    <row r="32" spans="4:20" x14ac:dyDescent="0.25">
      <c r="D32">
        <v>466</v>
      </c>
      <c r="E32" t="s">
        <v>4</v>
      </c>
      <c r="F32">
        <v>255</v>
      </c>
      <c r="M32">
        <v>470</v>
      </c>
      <c r="N32">
        <v>175</v>
      </c>
      <c r="O32">
        <f t="shared" si="0"/>
        <v>263</v>
      </c>
      <c r="P32">
        <f t="shared" si="1"/>
        <v>88</v>
      </c>
      <c r="Q32">
        <f t="shared" si="2"/>
        <v>0.40182648401826482</v>
      </c>
      <c r="R32">
        <v>252</v>
      </c>
      <c r="S32">
        <f t="shared" si="3"/>
        <v>11</v>
      </c>
      <c r="T32">
        <f t="shared" si="4"/>
        <v>4.2718446601941747E-2</v>
      </c>
    </row>
    <row r="33" spans="4:20" x14ac:dyDescent="0.25">
      <c r="D33">
        <v>470</v>
      </c>
      <c r="E33" t="s">
        <v>4</v>
      </c>
      <c r="F33">
        <v>263</v>
      </c>
      <c r="M33">
        <v>473</v>
      </c>
      <c r="N33">
        <v>168</v>
      </c>
      <c r="O33">
        <f t="shared" si="0"/>
        <v>167</v>
      </c>
      <c r="P33">
        <f t="shared" si="1"/>
        <v>1</v>
      </c>
      <c r="Q33">
        <f t="shared" si="2"/>
        <v>5.9701492537313433E-3</v>
      </c>
      <c r="R33">
        <v>170</v>
      </c>
      <c r="S33">
        <f t="shared" si="3"/>
        <v>3</v>
      </c>
      <c r="T33">
        <f t="shared" si="4"/>
        <v>1.7804154302670624E-2</v>
      </c>
    </row>
    <row r="34" spans="4:20" x14ac:dyDescent="0.25">
      <c r="D34">
        <v>473</v>
      </c>
      <c r="E34" t="s">
        <v>4</v>
      </c>
      <c r="F34">
        <v>167</v>
      </c>
      <c r="M34">
        <v>475</v>
      </c>
      <c r="N34">
        <v>284</v>
      </c>
      <c r="O34">
        <f t="shared" si="0"/>
        <v>263</v>
      </c>
      <c r="P34">
        <f t="shared" si="1"/>
        <v>21</v>
      </c>
      <c r="Q34">
        <f t="shared" si="2"/>
        <v>7.6782449725776969E-2</v>
      </c>
      <c r="R34">
        <v>263</v>
      </c>
      <c r="S34">
        <f t="shared" si="3"/>
        <v>0</v>
      </c>
      <c r="T34">
        <f t="shared" si="4"/>
        <v>0</v>
      </c>
    </row>
    <row r="35" spans="4:20" x14ac:dyDescent="0.25">
      <c r="D35">
        <v>475</v>
      </c>
      <c r="E35" t="s">
        <v>4</v>
      </c>
      <c r="F35">
        <v>263</v>
      </c>
      <c r="M35">
        <v>478</v>
      </c>
      <c r="N35">
        <v>186</v>
      </c>
      <c r="O35">
        <f t="shared" si="0"/>
        <v>189</v>
      </c>
      <c r="P35">
        <f t="shared" si="1"/>
        <v>3</v>
      </c>
      <c r="Q35">
        <f t="shared" si="2"/>
        <v>1.6E-2</v>
      </c>
      <c r="R35">
        <v>186</v>
      </c>
      <c r="S35">
        <f t="shared" si="3"/>
        <v>3</v>
      </c>
      <c r="T35">
        <f t="shared" si="4"/>
        <v>1.6E-2</v>
      </c>
    </row>
    <row r="36" spans="4:20" x14ac:dyDescent="0.25">
      <c r="D36">
        <v>478</v>
      </c>
      <c r="E36" t="s">
        <v>4</v>
      </c>
      <c r="F36">
        <v>189</v>
      </c>
      <c r="M36">
        <v>481</v>
      </c>
      <c r="N36">
        <v>159</v>
      </c>
      <c r="O36">
        <f t="shared" si="0"/>
        <v>169</v>
      </c>
      <c r="P36">
        <f t="shared" si="1"/>
        <v>10</v>
      </c>
      <c r="Q36">
        <f t="shared" si="2"/>
        <v>6.097560975609756E-2</v>
      </c>
      <c r="R36">
        <v>162</v>
      </c>
      <c r="S36">
        <f t="shared" si="3"/>
        <v>7</v>
      </c>
      <c r="T36">
        <f t="shared" si="4"/>
        <v>4.2296072507552872E-2</v>
      </c>
    </row>
    <row r="37" spans="4:20" x14ac:dyDescent="0.25">
      <c r="D37">
        <v>481</v>
      </c>
      <c r="E37" t="s">
        <v>4</v>
      </c>
      <c r="F37">
        <v>169</v>
      </c>
      <c r="M37">
        <v>484</v>
      </c>
      <c r="N37">
        <v>172</v>
      </c>
      <c r="O37">
        <f t="shared" si="0"/>
        <v>181</v>
      </c>
      <c r="P37">
        <f t="shared" si="1"/>
        <v>9</v>
      </c>
      <c r="Q37">
        <f t="shared" si="2"/>
        <v>5.0991501416430593E-2</v>
      </c>
      <c r="R37">
        <v>185</v>
      </c>
      <c r="S37">
        <f t="shared" si="3"/>
        <v>4</v>
      </c>
      <c r="T37">
        <f t="shared" si="4"/>
        <v>2.185792349726776E-2</v>
      </c>
    </row>
    <row r="38" spans="4:20" x14ac:dyDescent="0.25">
      <c r="D38">
        <v>484</v>
      </c>
      <c r="E38" t="s">
        <v>4</v>
      </c>
      <c r="F38">
        <v>181</v>
      </c>
      <c r="M38">
        <v>487</v>
      </c>
      <c r="N38">
        <v>142</v>
      </c>
      <c r="O38">
        <f t="shared" si="0"/>
        <v>200</v>
      </c>
      <c r="P38">
        <f t="shared" si="1"/>
        <v>58</v>
      </c>
      <c r="Q38">
        <f t="shared" si="2"/>
        <v>0.33918128654970758</v>
      </c>
      <c r="R38">
        <v>202</v>
      </c>
      <c r="S38">
        <f t="shared" si="3"/>
        <v>2</v>
      </c>
      <c r="T38">
        <f t="shared" si="4"/>
        <v>9.9502487562189053E-3</v>
      </c>
    </row>
    <row r="39" spans="4:20" x14ac:dyDescent="0.25">
      <c r="D39">
        <v>487</v>
      </c>
      <c r="E39" t="s">
        <v>4</v>
      </c>
      <c r="F39">
        <v>200</v>
      </c>
      <c r="M39">
        <v>490</v>
      </c>
      <c r="N39">
        <v>157</v>
      </c>
      <c r="O39">
        <f t="shared" si="0"/>
        <v>165</v>
      </c>
      <c r="P39">
        <f t="shared" si="1"/>
        <v>8</v>
      </c>
      <c r="Q39">
        <f t="shared" si="2"/>
        <v>4.9689440993788817E-2</v>
      </c>
      <c r="R39">
        <v>151</v>
      </c>
      <c r="S39">
        <f t="shared" si="3"/>
        <v>14</v>
      </c>
      <c r="T39">
        <f t="shared" si="4"/>
        <v>8.8607594936708861E-2</v>
      </c>
    </row>
    <row r="40" spans="4:20" x14ac:dyDescent="0.25">
      <c r="D40">
        <v>490</v>
      </c>
      <c r="E40" t="s">
        <v>4</v>
      </c>
      <c r="F40">
        <v>165</v>
      </c>
      <c r="M40">
        <v>495</v>
      </c>
      <c r="N40">
        <v>192</v>
      </c>
      <c r="O40">
        <f t="shared" si="0"/>
        <v>171</v>
      </c>
      <c r="P40">
        <f t="shared" si="1"/>
        <v>21</v>
      </c>
      <c r="Q40">
        <f t="shared" si="2"/>
        <v>0.11570247933884298</v>
      </c>
      <c r="R40">
        <v>172</v>
      </c>
      <c r="S40">
        <f t="shared" si="3"/>
        <v>1</v>
      </c>
      <c r="T40">
        <f t="shared" si="4"/>
        <v>5.8309037900874635E-3</v>
      </c>
    </row>
    <row r="41" spans="4:20" x14ac:dyDescent="0.25">
      <c r="D41">
        <v>495</v>
      </c>
      <c r="E41" t="s">
        <v>4</v>
      </c>
      <c r="F41">
        <v>171</v>
      </c>
      <c r="M41">
        <v>499</v>
      </c>
      <c r="N41">
        <v>153</v>
      </c>
      <c r="O41">
        <f t="shared" si="0"/>
        <v>197</v>
      </c>
      <c r="P41">
        <f t="shared" si="1"/>
        <v>44</v>
      </c>
      <c r="Q41">
        <f t="shared" si="2"/>
        <v>0.25142857142857145</v>
      </c>
      <c r="R41">
        <v>188</v>
      </c>
      <c r="S41">
        <f t="shared" si="3"/>
        <v>9</v>
      </c>
      <c r="T41">
        <f t="shared" si="4"/>
        <v>4.6753246753246755E-2</v>
      </c>
    </row>
    <row r="42" spans="4:20" x14ac:dyDescent="0.25">
      <c r="D42">
        <v>499</v>
      </c>
      <c r="E42" t="s">
        <v>4</v>
      </c>
      <c r="F42">
        <v>197</v>
      </c>
      <c r="M42">
        <v>503</v>
      </c>
      <c r="N42">
        <v>160</v>
      </c>
      <c r="O42">
        <f t="shared" si="0"/>
        <v>172</v>
      </c>
      <c r="P42">
        <f t="shared" si="1"/>
        <v>12</v>
      </c>
      <c r="Q42">
        <f t="shared" si="2"/>
        <v>7.2289156626506021E-2</v>
      </c>
      <c r="R42">
        <v>171</v>
      </c>
      <c r="S42">
        <f t="shared" si="3"/>
        <v>1</v>
      </c>
      <c r="T42">
        <f t="shared" si="4"/>
        <v>5.8309037900874635E-3</v>
      </c>
    </row>
    <row r="43" spans="4:20" x14ac:dyDescent="0.25">
      <c r="D43">
        <v>503</v>
      </c>
      <c r="E43" t="s">
        <v>4</v>
      </c>
      <c r="F43">
        <v>172</v>
      </c>
      <c r="M43">
        <v>506</v>
      </c>
      <c r="N43">
        <v>170</v>
      </c>
      <c r="O43">
        <f t="shared" si="0"/>
        <v>179</v>
      </c>
      <c r="P43">
        <f t="shared" si="1"/>
        <v>9</v>
      </c>
      <c r="Q43">
        <f t="shared" si="2"/>
        <v>5.1575931232091692E-2</v>
      </c>
      <c r="R43">
        <v>180</v>
      </c>
      <c r="S43">
        <f t="shared" si="3"/>
        <v>1</v>
      </c>
      <c r="T43">
        <f t="shared" si="4"/>
        <v>5.5710306406685237E-3</v>
      </c>
    </row>
    <row r="44" spans="4:20" x14ac:dyDescent="0.25">
      <c r="D44">
        <v>506</v>
      </c>
      <c r="E44" t="s">
        <v>4</v>
      </c>
      <c r="F44">
        <v>179</v>
      </c>
      <c r="M44">
        <v>509</v>
      </c>
      <c r="N44">
        <v>119</v>
      </c>
      <c r="O44">
        <f t="shared" si="0"/>
        <v>115</v>
      </c>
      <c r="P44">
        <f t="shared" si="1"/>
        <v>4</v>
      </c>
      <c r="Q44">
        <f t="shared" si="2"/>
        <v>3.4188034188034191E-2</v>
      </c>
      <c r="R44">
        <v>114</v>
      </c>
      <c r="S44">
        <f t="shared" si="3"/>
        <v>1</v>
      </c>
      <c r="T44">
        <f t="shared" si="4"/>
        <v>8.7336244541484712E-3</v>
      </c>
    </row>
    <row r="45" spans="4:20" x14ac:dyDescent="0.25">
      <c r="D45">
        <v>509</v>
      </c>
      <c r="E45" t="s">
        <v>4</v>
      </c>
      <c r="F45">
        <v>115</v>
      </c>
      <c r="M45">
        <v>512</v>
      </c>
      <c r="N45">
        <v>150</v>
      </c>
      <c r="O45">
        <f t="shared" si="0"/>
        <v>166</v>
      </c>
      <c r="P45">
        <f t="shared" si="1"/>
        <v>16</v>
      </c>
      <c r="Q45">
        <f t="shared" si="2"/>
        <v>0.10126582278481013</v>
      </c>
      <c r="R45">
        <v>173</v>
      </c>
      <c r="S45">
        <f t="shared" si="3"/>
        <v>7</v>
      </c>
      <c r="T45">
        <f t="shared" si="4"/>
        <v>4.1297935103244837E-2</v>
      </c>
    </row>
    <row r="46" spans="4:20" x14ac:dyDescent="0.25">
      <c r="D46">
        <v>512</v>
      </c>
      <c r="E46" t="s">
        <v>4</v>
      </c>
      <c r="F46">
        <v>166</v>
      </c>
      <c r="M46">
        <v>515</v>
      </c>
      <c r="N46">
        <v>135</v>
      </c>
      <c r="O46">
        <f t="shared" si="0"/>
        <v>158</v>
      </c>
      <c r="P46">
        <f t="shared" si="1"/>
        <v>23</v>
      </c>
      <c r="Q46">
        <f t="shared" si="2"/>
        <v>0.15699658703071673</v>
      </c>
      <c r="R46">
        <v>174</v>
      </c>
      <c r="S46">
        <f t="shared" si="3"/>
        <v>16</v>
      </c>
      <c r="T46">
        <f t="shared" si="4"/>
        <v>9.6385542168674704E-2</v>
      </c>
    </row>
    <row r="47" spans="4:20" x14ac:dyDescent="0.25">
      <c r="D47">
        <v>515</v>
      </c>
      <c r="E47" t="s">
        <v>4</v>
      </c>
      <c r="F47">
        <v>158</v>
      </c>
      <c r="M47">
        <v>518</v>
      </c>
      <c r="N47">
        <v>166</v>
      </c>
      <c r="O47">
        <f t="shared" si="0"/>
        <v>167</v>
      </c>
      <c r="P47">
        <f t="shared" si="1"/>
        <v>1</v>
      </c>
      <c r="Q47">
        <f t="shared" si="2"/>
        <v>6.006006006006006E-3</v>
      </c>
      <c r="R47">
        <v>162</v>
      </c>
      <c r="S47">
        <f t="shared" si="3"/>
        <v>5</v>
      </c>
      <c r="T47">
        <f t="shared" si="4"/>
        <v>3.0395136778115502E-2</v>
      </c>
    </row>
    <row r="48" spans="4:20" x14ac:dyDescent="0.25">
      <c r="D48">
        <v>518</v>
      </c>
      <c r="E48" t="s">
        <v>4</v>
      </c>
      <c r="F48">
        <v>167</v>
      </c>
      <c r="M48">
        <v>521</v>
      </c>
      <c r="N48">
        <v>190</v>
      </c>
      <c r="O48">
        <f t="shared" si="0"/>
        <v>219</v>
      </c>
      <c r="P48">
        <f t="shared" si="1"/>
        <v>29</v>
      </c>
      <c r="Q48">
        <f t="shared" si="2"/>
        <v>0.14180929095354522</v>
      </c>
      <c r="R48">
        <v>204</v>
      </c>
      <c r="S48">
        <f t="shared" si="3"/>
        <v>15</v>
      </c>
      <c r="T48">
        <f t="shared" si="4"/>
        <v>7.0921985815602842E-2</v>
      </c>
    </row>
    <row r="49" spans="4:20" x14ac:dyDescent="0.25">
      <c r="D49">
        <v>521</v>
      </c>
      <c r="E49" t="s">
        <v>4</v>
      </c>
      <c r="F49">
        <v>219</v>
      </c>
      <c r="M49">
        <v>525</v>
      </c>
      <c r="N49">
        <v>134</v>
      </c>
      <c r="O49">
        <f t="shared" si="0"/>
        <v>154</v>
      </c>
      <c r="P49">
        <f t="shared" si="1"/>
        <v>20</v>
      </c>
      <c r="Q49">
        <f t="shared" si="2"/>
        <v>0.1388888888888889</v>
      </c>
      <c r="R49">
        <v>140</v>
      </c>
      <c r="S49">
        <f t="shared" si="3"/>
        <v>14</v>
      </c>
      <c r="T49">
        <f t="shared" si="4"/>
        <v>9.5238095238095233E-2</v>
      </c>
    </row>
    <row r="50" spans="4:20" x14ac:dyDescent="0.25">
      <c r="D50">
        <v>525</v>
      </c>
      <c r="E50" t="s">
        <v>4</v>
      </c>
      <c r="F50">
        <v>154</v>
      </c>
      <c r="M50">
        <v>529</v>
      </c>
      <c r="N50">
        <v>105</v>
      </c>
      <c r="O50">
        <f t="shared" si="0"/>
        <v>143</v>
      </c>
      <c r="P50">
        <f t="shared" si="1"/>
        <v>38</v>
      </c>
      <c r="Q50">
        <f t="shared" si="2"/>
        <v>0.30645161290322581</v>
      </c>
      <c r="R50">
        <v>131</v>
      </c>
      <c r="S50">
        <f t="shared" si="3"/>
        <v>12</v>
      </c>
      <c r="T50">
        <f t="shared" si="4"/>
        <v>8.7591240875912413E-2</v>
      </c>
    </row>
    <row r="51" spans="4:20" x14ac:dyDescent="0.25">
      <c r="D51">
        <v>529</v>
      </c>
      <c r="E51" t="s">
        <v>4</v>
      </c>
      <c r="F51">
        <v>143</v>
      </c>
      <c r="M51">
        <v>533</v>
      </c>
      <c r="N51">
        <v>117</v>
      </c>
      <c r="O51">
        <f t="shared" si="0"/>
        <v>118</v>
      </c>
      <c r="P51">
        <f t="shared" si="1"/>
        <v>1</v>
      </c>
      <c r="Q51">
        <f t="shared" si="2"/>
        <v>8.5106382978723406E-3</v>
      </c>
      <c r="R51">
        <v>136</v>
      </c>
      <c r="S51">
        <f t="shared" si="3"/>
        <v>18</v>
      </c>
      <c r="T51">
        <f t="shared" si="4"/>
        <v>0.14173228346456693</v>
      </c>
    </row>
    <row r="52" spans="4:20" x14ac:dyDescent="0.25">
      <c r="D52">
        <v>533</v>
      </c>
      <c r="E52" t="s">
        <v>4</v>
      </c>
      <c r="F52">
        <v>118</v>
      </c>
      <c r="M52">
        <v>536</v>
      </c>
      <c r="N52">
        <v>115</v>
      </c>
      <c r="O52">
        <f t="shared" si="0"/>
        <v>125</v>
      </c>
      <c r="P52">
        <f t="shared" si="1"/>
        <v>10</v>
      </c>
      <c r="Q52">
        <f t="shared" si="2"/>
        <v>8.3333333333333329E-2</v>
      </c>
      <c r="R52">
        <v>124</v>
      </c>
      <c r="S52">
        <f t="shared" si="3"/>
        <v>1</v>
      </c>
      <c r="T52">
        <f t="shared" si="4"/>
        <v>8.0321285140562242E-3</v>
      </c>
    </row>
    <row r="53" spans="4:20" x14ac:dyDescent="0.25">
      <c r="D53">
        <v>536</v>
      </c>
      <c r="E53" t="s">
        <v>4</v>
      </c>
      <c r="F53">
        <v>125</v>
      </c>
      <c r="M53">
        <v>545</v>
      </c>
      <c r="N53">
        <v>8</v>
      </c>
      <c r="O53">
        <f t="shared" si="0"/>
        <v>10</v>
      </c>
      <c r="P53">
        <f t="shared" si="1"/>
        <v>2</v>
      </c>
      <c r="Q53">
        <f t="shared" si="2"/>
        <v>0.22222222222222221</v>
      </c>
      <c r="R53">
        <v>7</v>
      </c>
      <c r="S53">
        <f t="shared" si="3"/>
        <v>3</v>
      </c>
      <c r="T53">
        <f t="shared" si="4"/>
        <v>0.35294117647058826</v>
      </c>
    </row>
    <row r="54" spans="4:20" x14ac:dyDescent="0.25">
      <c r="D54">
        <v>545</v>
      </c>
      <c r="E54" t="s">
        <v>4</v>
      </c>
      <c r="F54">
        <v>10</v>
      </c>
      <c r="M54">
        <v>547</v>
      </c>
      <c r="N54">
        <v>11</v>
      </c>
      <c r="O54">
        <f t="shared" si="0"/>
        <v>24</v>
      </c>
      <c r="P54">
        <f t="shared" si="1"/>
        <v>13</v>
      </c>
      <c r="Q54">
        <f t="shared" si="2"/>
        <v>0.74285714285714288</v>
      </c>
      <c r="R54">
        <v>19</v>
      </c>
      <c r="S54">
        <f t="shared" si="3"/>
        <v>5</v>
      </c>
      <c r="T54">
        <f t="shared" si="4"/>
        <v>0.23255813953488372</v>
      </c>
    </row>
    <row r="55" spans="4:20" x14ac:dyDescent="0.25">
      <c r="D55">
        <v>547</v>
      </c>
      <c r="E55" t="s">
        <v>4</v>
      </c>
      <c r="F55">
        <v>24</v>
      </c>
      <c r="M55">
        <v>550</v>
      </c>
      <c r="N55">
        <v>10</v>
      </c>
      <c r="O55">
        <f t="shared" si="0"/>
        <v>18</v>
      </c>
      <c r="P55">
        <f t="shared" si="1"/>
        <v>8</v>
      </c>
      <c r="Q55">
        <f t="shared" si="2"/>
        <v>0.5714285714285714</v>
      </c>
      <c r="R55">
        <v>13</v>
      </c>
      <c r="S55">
        <f t="shared" si="3"/>
        <v>5</v>
      </c>
      <c r="T55">
        <f t="shared" si="4"/>
        <v>0.32258064516129031</v>
      </c>
    </row>
    <row r="56" spans="4:20" x14ac:dyDescent="0.25">
      <c r="D56">
        <v>550</v>
      </c>
      <c r="E56" t="s">
        <v>4</v>
      </c>
      <c r="F56">
        <v>18</v>
      </c>
      <c r="M56">
        <v>553</v>
      </c>
      <c r="N56">
        <v>19</v>
      </c>
      <c r="O56">
        <f t="shared" si="0"/>
        <v>24</v>
      </c>
      <c r="P56">
        <f t="shared" si="1"/>
        <v>5</v>
      </c>
      <c r="Q56">
        <f t="shared" si="2"/>
        <v>0.23255813953488372</v>
      </c>
      <c r="R56">
        <v>25</v>
      </c>
      <c r="S56">
        <f t="shared" si="3"/>
        <v>1</v>
      </c>
      <c r="T56">
        <f t="shared" si="4"/>
        <v>4.0816326530612242E-2</v>
      </c>
    </row>
    <row r="57" spans="4:20" x14ac:dyDescent="0.25">
      <c r="D57">
        <v>553</v>
      </c>
      <c r="E57" t="s">
        <v>4</v>
      </c>
      <c r="F57">
        <v>24</v>
      </c>
      <c r="M57">
        <v>556</v>
      </c>
      <c r="N57">
        <v>32</v>
      </c>
      <c r="O57">
        <f t="shared" si="0"/>
        <v>39</v>
      </c>
      <c r="P57">
        <f t="shared" si="1"/>
        <v>7</v>
      </c>
      <c r="Q57">
        <f t="shared" si="2"/>
        <v>0.19718309859154928</v>
      </c>
      <c r="R57">
        <v>36</v>
      </c>
      <c r="S57">
        <f t="shared" si="3"/>
        <v>3</v>
      </c>
      <c r="T57">
        <f t="shared" si="4"/>
        <v>0.08</v>
      </c>
    </row>
    <row r="58" spans="4:20" x14ac:dyDescent="0.25">
      <c r="D58">
        <v>556</v>
      </c>
      <c r="E58" t="s">
        <v>4</v>
      </c>
      <c r="F58">
        <v>39</v>
      </c>
      <c r="M58">
        <v>558</v>
      </c>
      <c r="N58">
        <v>27</v>
      </c>
      <c r="O58">
        <f t="shared" si="0"/>
        <v>39</v>
      </c>
      <c r="P58">
        <f t="shared" si="1"/>
        <v>12</v>
      </c>
      <c r="Q58">
        <f t="shared" si="2"/>
        <v>0.36363636363636365</v>
      </c>
      <c r="R58">
        <v>41</v>
      </c>
      <c r="S58">
        <f t="shared" si="3"/>
        <v>2</v>
      </c>
      <c r="T58">
        <f t="shared" si="4"/>
        <v>0.05</v>
      </c>
    </row>
    <row r="59" spans="4:20" x14ac:dyDescent="0.25">
      <c r="D59">
        <v>558</v>
      </c>
      <c r="E59" t="s">
        <v>4</v>
      </c>
      <c r="F59">
        <v>39</v>
      </c>
      <c r="M59">
        <v>561</v>
      </c>
      <c r="N59">
        <v>26</v>
      </c>
      <c r="O59">
        <f t="shared" si="0"/>
        <v>38</v>
      </c>
      <c r="P59">
        <f t="shared" si="1"/>
        <v>12</v>
      </c>
      <c r="Q59">
        <f t="shared" si="2"/>
        <v>0.375</v>
      </c>
      <c r="R59">
        <v>38</v>
      </c>
      <c r="S59">
        <f t="shared" si="3"/>
        <v>0</v>
      </c>
      <c r="T59">
        <f t="shared" si="4"/>
        <v>0</v>
      </c>
    </row>
    <row r="60" spans="4:20" x14ac:dyDescent="0.25">
      <c r="D60">
        <v>561</v>
      </c>
      <c r="E60" t="s">
        <v>4</v>
      </c>
      <c r="F60">
        <v>38</v>
      </c>
      <c r="M60">
        <v>564</v>
      </c>
      <c r="N60">
        <v>20</v>
      </c>
      <c r="O60">
        <f t="shared" si="0"/>
        <v>24</v>
      </c>
      <c r="P60">
        <f t="shared" si="1"/>
        <v>4</v>
      </c>
      <c r="Q60">
        <f t="shared" si="2"/>
        <v>0.18181818181818182</v>
      </c>
      <c r="R60">
        <v>26</v>
      </c>
      <c r="S60">
        <f t="shared" si="3"/>
        <v>2</v>
      </c>
      <c r="T60">
        <f t="shared" si="4"/>
        <v>0.08</v>
      </c>
    </row>
    <row r="61" spans="4:20" x14ac:dyDescent="0.25">
      <c r="D61">
        <v>564</v>
      </c>
      <c r="E61" t="s">
        <v>4</v>
      </c>
      <c r="F61">
        <v>24</v>
      </c>
      <c r="M61">
        <v>567</v>
      </c>
      <c r="N61">
        <v>7</v>
      </c>
      <c r="O61">
        <f t="shared" si="0"/>
        <v>15</v>
      </c>
      <c r="P61">
        <f t="shared" si="1"/>
        <v>8</v>
      </c>
      <c r="Q61">
        <f t="shared" si="2"/>
        <v>0.72727272727272729</v>
      </c>
      <c r="R61">
        <v>12</v>
      </c>
      <c r="S61">
        <f t="shared" si="3"/>
        <v>3</v>
      </c>
      <c r="T61">
        <f t="shared" si="4"/>
        <v>0.22222222222222221</v>
      </c>
    </row>
    <row r="62" spans="4:20" x14ac:dyDescent="0.25">
      <c r="D62">
        <v>567</v>
      </c>
      <c r="E62" t="s">
        <v>4</v>
      </c>
      <c r="F62">
        <v>15</v>
      </c>
      <c r="M62">
        <v>569</v>
      </c>
      <c r="N62">
        <v>10</v>
      </c>
      <c r="O62">
        <f t="shared" si="0"/>
        <v>15</v>
      </c>
      <c r="P62">
        <f t="shared" si="1"/>
        <v>5</v>
      </c>
      <c r="Q62">
        <f t="shared" si="2"/>
        <v>0.4</v>
      </c>
      <c r="R62">
        <v>13</v>
      </c>
      <c r="S62">
        <f t="shared" si="3"/>
        <v>2</v>
      </c>
      <c r="T62">
        <f t="shared" si="4"/>
        <v>0.14285714285714285</v>
      </c>
    </row>
    <row r="63" spans="4:20" x14ac:dyDescent="0.25">
      <c r="D63">
        <v>569</v>
      </c>
      <c r="E63" t="s">
        <v>4</v>
      </c>
      <c r="F63">
        <v>15</v>
      </c>
      <c r="M63">
        <v>572</v>
      </c>
      <c r="N63">
        <v>31</v>
      </c>
      <c r="O63">
        <f t="shared" si="0"/>
        <v>33</v>
      </c>
      <c r="P63">
        <f t="shared" si="1"/>
        <v>2</v>
      </c>
      <c r="Q63">
        <f t="shared" si="2"/>
        <v>6.25E-2</v>
      </c>
      <c r="R63">
        <v>31</v>
      </c>
      <c r="S63">
        <f t="shared" si="3"/>
        <v>2</v>
      </c>
      <c r="T63">
        <f t="shared" si="4"/>
        <v>6.25E-2</v>
      </c>
    </row>
    <row r="64" spans="4:20" x14ac:dyDescent="0.25">
      <c r="D64">
        <v>572</v>
      </c>
      <c r="E64" t="s">
        <v>4</v>
      </c>
      <c r="F64">
        <v>33</v>
      </c>
      <c r="M64">
        <v>574</v>
      </c>
      <c r="N64">
        <v>21</v>
      </c>
      <c r="O64">
        <f t="shared" si="0"/>
        <v>22</v>
      </c>
      <c r="P64">
        <f t="shared" si="1"/>
        <v>1</v>
      </c>
      <c r="Q64">
        <f t="shared" si="2"/>
        <v>4.6511627906976744E-2</v>
      </c>
      <c r="R64">
        <v>19</v>
      </c>
      <c r="S64">
        <f t="shared" si="3"/>
        <v>3</v>
      </c>
      <c r="T64">
        <f t="shared" si="4"/>
        <v>0.14634146341463414</v>
      </c>
    </row>
    <row r="65" spans="4:20" x14ac:dyDescent="0.25">
      <c r="D65">
        <v>574</v>
      </c>
      <c r="E65" t="s">
        <v>4</v>
      </c>
      <c r="F65">
        <v>22</v>
      </c>
      <c r="M65">
        <v>576</v>
      </c>
      <c r="N65">
        <v>11</v>
      </c>
      <c r="O65">
        <f t="shared" si="0"/>
        <v>9</v>
      </c>
      <c r="P65">
        <f t="shared" si="1"/>
        <v>2</v>
      </c>
      <c r="Q65">
        <f t="shared" si="2"/>
        <v>0.2</v>
      </c>
      <c r="R65">
        <v>9</v>
      </c>
      <c r="S65">
        <f t="shared" si="3"/>
        <v>0</v>
      </c>
      <c r="T65">
        <f t="shared" si="4"/>
        <v>0</v>
      </c>
    </row>
    <row r="66" spans="4:20" x14ac:dyDescent="0.25">
      <c r="D66">
        <v>576</v>
      </c>
      <c r="E66" t="s">
        <v>4</v>
      </c>
      <c r="F66">
        <v>9</v>
      </c>
      <c r="M66">
        <v>577</v>
      </c>
      <c r="N66">
        <v>14</v>
      </c>
      <c r="O66">
        <f t="shared" si="0"/>
        <v>15</v>
      </c>
      <c r="P66">
        <f t="shared" si="1"/>
        <v>1</v>
      </c>
      <c r="Q66">
        <f t="shared" si="2"/>
        <v>6.8965517241379309E-2</v>
      </c>
      <c r="R66">
        <v>15</v>
      </c>
      <c r="S66">
        <f t="shared" si="3"/>
        <v>0</v>
      </c>
      <c r="T66">
        <f t="shared" si="4"/>
        <v>0</v>
      </c>
    </row>
    <row r="67" spans="4:20" x14ac:dyDescent="0.25">
      <c r="D67">
        <v>577</v>
      </c>
      <c r="E67" t="s">
        <v>4</v>
      </c>
      <c r="F67">
        <v>15</v>
      </c>
      <c r="M67">
        <v>580</v>
      </c>
      <c r="N67">
        <v>21</v>
      </c>
      <c r="O67">
        <f t="shared" si="0"/>
        <v>20</v>
      </c>
      <c r="P67">
        <f t="shared" si="1"/>
        <v>1</v>
      </c>
      <c r="Q67">
        <f t="shared" si="2"/>
        <v>4.878048780487805E-2</v>
      </c>
      <c r="R67">
        <v>25</v>
      </c>
      <c r="S67">
        <f t="shared" si="3"/>
        <v>5</v>
      </c>
      <c r="T67">
        <f t="shared" si="4"/>
        <v>0.22222222222222221</v>
      </c>
    </row>
    <row r="68" spans="4:20" x14ac:dyDescent="0.25">
      <c r="D68">
        <v>580</v>
      </c>
      <c r="E68" t="s">
        <v>4</v>
      </c>
      <c r="F68">
        <v>20</v>
      </c>
      <c r="M68">
        <v>584</v>
      </c>
      <c r="N68">
        <v>23</v>
      </c>
      <c r="O68">
        <f t="shared" si="0"/>
        <v>28</v>
      </c>
      <c r="P68">
        <f t="shared" si="1"/>
        <v>5</v>
      </c>
      <c r="Q68">
        <f t="shared" si="2"/>
        <v>0.19607843137254902</v>
      </c>
      <c r="R68">
        <v>25</v>
      </c>
      <c r="S68">
        <f t="shared" si="3"/>
        <v>3</v>
      </c>
      <c r="T68">
        <f t="shared" si="4"/>
        <v>0.11320754716981132</v>
      </c>
    </row>
    <row r="69" spans="4:20" x14ac:dyDescent="0.25">
      <c r="D69">
        <v>584</v>
      </c>
      <c r="E69" t="s">
        <v>4</v>
      </c>
      <c r="F69">
        <v>28</v>
      </c>
      <c r="M69">
        <v>586</v>
      </c>
      <c r="N69">
        <v>17</v>
      </c>
      <c r="O69">
        <f t="shared" ref="O69:O118" si="5">VLOOKUP(M69,$D$2:$F$119,3,FALSE)</f>
        <v>19</v>
      </c>
      <c r="P69">
        <f t="shared" ref="P69:P118" si="6">ABS(N69-O69)</f>
        <v>2</v>
      </c>
      <c r="Q69">
        <f t="shared" ref="Q69:Q118" si="7">P69/(N69+O69)*2</f>
        <v>0.1111111111111111</v>
      </c>
      <c r="R69">
        <v>16</v>
      </c>
      <c r="S69">
        <f t="shared" ref="S69:S118" si="8">ABS(O69-R69)</f>
        <v>3</v>
      </c>
      <c r="T69">
        <f t="shared" ref="T69:T118" si="9">2*S69/(O69+R69)</f>
        <v>0.17142857142857143</v>
      </c>
    </row>
    <row r="70" spans="4:20" x14ac:dyDescent="0.25">
      <c r="D70">
        <v>586</v>
      </c>
      <c r="E70" t="s">
        <v>4</v>
      </c>
      <c r="F70">
        <v>19</v>
      </c>
      <c r="M70">
        <v>587</v>
      </c>
      <c r="N70">
        <v>3</v>
      </c>
      <c r="O70">
        <f t="shared" si="5"/>
        <v>2</v>
      </c>
      <c r="P70">
        <f t="shared" si="6"/>
        <v>1</v>
      </c>
      <c r="Q70">
        <f t="shared" si="7"/>
        <v>0.4</v>
      </c>
      <c r="R70">
        <v>3</v>
      </c>
      <c r="S70">
        <f t="shared" si="8"/>
        <v>1</v>
      </c>
      <c r="T70">
        <f t="shared" si="9"/>
        <v>0.4</v>
      </c>
    </row>
    <row r="71" spans="4:20" x14ac:dyDescent="0.25">
      <c r="D71">
        <v>587</v>
      </c>
      <c r="E71" t="s">
        <v>4</v>
      </c>
      <c r="F71">
        <v>2</v>
      </c>
      <c r="M71">
        <v>589</v>
      </c>
      <c r="N71">
        <v>22</v>
      </c>
      <c r="O71">
        <f t="shared" si="5"/>
        <v>20</v>
      </c>
      <c r="P71">
        <f t="shared" si="6"/>
        <v>2</v>
      </c>
      <c r="Q71">
        <f t="shared" si="7"/>
        <v>9.5238095238095233E-2</v>
      </c>
      <c r="R71">
        <v>22</v>
      </c>
      <c r="S71">
        <f t="shared" si="8"/>
        <v>2</v>
      </c>
      <c r="T71">
        <f t="shared" si="9"/>
        <v>9.5238095238095233E-2</v>
      </c>
    </row>
    <row r="72" spans="4:20" x14ac:dyDescent="0.25">
      <c r="D72">
        <v>589</v>
      </c>
      <c r="E72" t="s">
        <v>4</v>
      </c>
      <c r="F72">
        <v>20</v>
      </c>
      <c r="M72">
        <v>592</v>
      </c>
      <c r="N72">
        <v>11</v>
      </c>
      <c r="O72">
        <f t="shared" si="5"/>
        <v>17</v>
      </c>
      <c r="P72">
        <f t="shared" si="6"/>
        <v>6</v>
      </c>
      <c r="Q72">
        <f t="shared" si="7"/>
        <v>0.42857142857142855</v>
      </c>
      <c r="R72">
        <v>15</v>
      </c>
      <c r="S72">
        <f t="shared" si="8"/>
        <v>2</v>
      </c>
      <c r="T72">
        <f t="shared" si="9"/>
        <v>0.125</v>
      </c>
    </row>
    <row r="73" spans="4:20" x14ac:dyDescent="0.25">
      <c r="D73">
        <v>592</v>
      </c>
      <c r="E73" t="s">
        <v>4</v>
      </c>
      <c r="F73">
        <v>17</v>
      </c>
      <c r="M73">
        <v>594</v>
      </c>
      <c r="N73">
        <v>12</v>
      </c>
      <c r="O73">
        <f t="shared" si="5"/>
        <v>23</v>
      </c>
      <c r="P73">
        <f t="shared" si="6"/>
        <v>11</v>
      </c>
      <c r="Q73">
        <f t="shared" si="7"/>
        <v>0.62857142857142856</v>
      </c>
      <c r="R73">
        <v>23</v>
      </c>
      <c r="S73">
        <f t="shared" si="8"/>
        <v>0</v>
      </c>
      <c r="T73">
        <f t="shared" si="9"/>
        <v>0</v>
      </c>
    </row>
    <row r="74" spans="4:20" x14ac:dyDescent="0.25">
      <c r="D74">
        <v>594</v>
      </c>
      <c r="E74" t="s">
        <v>4</v>
      </c>
      <c r="F74">
        <v>23</v>
      </c>
      <c r="M74">
        <v>596</v>
      </c>
      <c r="N74">
        <v>17</v>
      </c>
      <c r="O74">
        <f t="shared" si="5"/>
        <v>17</v>
      </c>
      <c r="P74">
        <f t="shared" si="6"/>
        <v>0</v>
      </c>
      <c r="Q74">
        <f t="shared" si="7"/>
        <v>0</v>
      </c>
      <c r="R74">
        <v>15</v>
      </c>
      <c r="S74">
        <f t="shared" si="8"/>
        <v>2</v>
      </c>
      <c r="T74">
        <f t="shared" si="9"/>
        <v>0.125</v>
      </c>
    </row>
    <row r="75" spans="4:20" x14ac:dyDescent="0.25">
      <c r="D75">
        <v>596</v>
      </c>
      <c r="E75" t="s">
        <v>4</v>
      </c>
      <c r="F75">
        <v>17</v>
      </c>
      <c r="M75">
        <v>598</v>
      </c>
      <c r="N75">
        <v>12</v>
      </c>
      <c r="O75">
        <f t="shared" si="5"/>
        <v>16</v>
      </c>
      <c r="P75">
        <f t="shared" si="6"/>
        <v>4</v>
      </c>
      <c r="Q75">
        <f t="shared" si="7"/>
        <v>0.2857142857142857</v>
      </c>
      <c r="R75">
        <v>16</v>
      </c>
      <c r="S75">
        <f t="shared" si="8"/>
        <v>0</v>
      </c>
      <c r="T75">
        <f t="shared" si="9"/>
        <v>0</v>
      </c>
    </row>
    <row r="76" spans="4:20" x14ac:dyDescent="0.25">
      <c r="D76">
        <v>598</v>
      </c>
      <c r="E76" t="s">
        <v>4</v>
      </c>
      <c r="F76">
        <v>16</v>
      </c>
      <c r="M76">
        <v>601</v>
      </c>
      <c r="N76">
        <v>31</v>
      </c>
      <c r="O76">
        <f t="shared" si="5"/>
        <v>30</v>
      </c>
      <c r="P76">
        <f t="shared" si="6"/>
        <v>1</v>
      </c>
      <c r="Q76">
        <f t="shared" si="7"/>
        <v>3.2786885245901641E-2</v>
      </c>
      <c r="R76">
        <v>33</v>
      </c>
      <c r="S76">
        <f t="shared" si="8"/>
        <v>3</v>
      </c>
      <c r="T76">
        <f t="shared" si="9"/>
        <v>9.5238095238095233E-2</v>
      </c>
    </row>
    <row r="77" spans="4:20" x14ac:dyDescent="0.25">
      <c r="D77">
        <v>601</v>
      </c>
      <c r="E77" t="s">
        <v>4</v>
      </c>
      <c r="F77">
        <v>30</v>
      </c>
      <c r="M77">
        <v>603</v>
      </c>
      <c r="N77">
        <v>19</v>
      </c>
      <c r="O77">
        <f t="shared" si="5"/>
        <v>20</v>
      </c>
      <c r="P77">
        <f t="shared" si="6"/>
        <v>1</v>
      </c>
      <c r="Q77">
        <f t="shared" si="7"/>
        <v>5.128205128205128E-2</v>
      </c>
      <c r="R77">
        <v>19</v>
      </c>
      <c r="S77">
        <f t="shared" si="8"/>
        <v>1</v>
      </c>
      <c r="T77">
        <f t="shared" si="9"/>
        <v>5.128205128205128E-2</v>
      </c>
    </row>
    <row r="78" spans="4:20" x14ac:dyDescent="0.25">
      <c r="D78">
        <v>603</v>
      </c>
      <c r="E78" t="s">
        <v>4</v>
      </c>
      <c r="F78">
        <v>20</v>
      </c>
      <c r="M78">
        <v>606</v>
      </c>
      <c r="N78">
        <v>49</v>
      </c>
      <c r="O78">
        <f t="shared" si="5"/>
        <v>49</v>
      </c>
      <c r="P78">
        <f t="shared" si="6"/>
        <v>0</v>
      </c>
      <c r="Q78">
        <f t="shared" si="7"/>
        <v>0</v>
      </c>
      <c r="R78">
        <v>50</v>
      </c>
      <c r="S78">
        <f t="shared" si="8"/>
        <v>1</v>
      </c>
      <c r="T78">
        <f t="shared" si="9"/>
        <v>2.0202020202020204E-2</v>
      </c>
    </row>
    <row r="79" spans="4:20" x14ac:dyDescent="0.25">
      <c r="D79">
        <v>606</v>
      </c>
      <c r="E79" t="s">
        <v>4</v>
      </c>
      <c r="F79">
        <v>49</v>
      </c>
      <c r="M79">
        <v>609</v>
      </c>
      <c r="N79">
        <v>40</v>
      </c>
      <c r="O79">
        <f t="shared" si="5"/>
        <v>44</v>
      </c>
      <c r="P79">
        <f t="shared" si="6"/>
        <v>4</v>
      </c>
      <c r="Q79">
        <f t="shared" si="7"/>
        <v>9.5238095238095233E-2</v>
      </c>
      <c r="R79">
        <v>46</v>
      </c>
      <c r="S79">
        <f t="shared" si="8"/>
        <v>2</v>
      </c>
      <c r="T79">
        <f t="shared" si="9"/>
        <v>4.4444444444444446E-2</v>
      </c>
    </row>
    <row r="80" spans="4:20" x14ac:dyDescent="0.25">
      <c r="D80">
        <v>609</v>
      </c>
      <c r="E80" t="s">
        <v>4</v>
      </c>
      <c r="F80">
        <v>44</v>
      </c>
      <c r="M80">
        <v>612</v>
      </c>
      <c r="N80">
        <v>28</v>
      </c>
      <c r="O80">
        <f t="shared" si="5"/>
        <v>25</v>
      </c>
      <c r="P80">
        <f t="shared" si="6"/>
        <v>3</v>
      </c>
      <c r="Q80">
        <f t="shared" si="7"/>
        <v>0.11320754716981132</v>
      </c>
      <c r="R80">
        <v>25</v>
      </c>
      <c r="S80">
        <f t="shared" si="8"/>
        <v>0</v>
      </c>
      <c r="T80">
        <f t="shared" si="9"/>
        <v>0</v>
      </c>
    </row>
    <row r="81" spans="4:20" x14ac:dyDescent="0.25">
      <c r="D81">
        <v>612</v>
      </c>
      <c r="E81" t="s">
        <v>4</v>
      </c>
      <c r="F81">
        <v>25</v>
      </c>
      <c r="M81">
        <v>615</v>
      </c>
      <c r="N81">
        <v>37</v>
      </c>
      <c r="O81">
        <f t="shared" si="5"/>
        <v>42</v>
      </c>
      <c r="P81">
        <f t="shared" si="6"/>
        <v>5</v>
      </c>
      <c r="Q81">
        <f t="shared" si="7"/>
        <v>0.12658227848101267</v>
      </c>
      <c r="R81">
        <v>40</v>
      </c>
      <c r="S81">
        <f t="shared" si="8"/>
        <v>2</v>
      </c>
      <c r="T81">
        <f t="shared" si="9"/>
        <v>4.878048780487805E-2</v>
      </c>
    </row>
    <row r="82" spans="4:20" x14ac:dyDescent="0.25">
      <c r="D82">
        <v>615</v>
      </c>
      <c r="E82" t="s">
        <v>4</v>
      </c>
      <c r="F82">
        <v>42</v>
      </c>
      <c r="M82">
        <v>618</v>
      </c>
      <c r="N82">
        <v>21</v>
      </c>
      <c r="O82">
        <f t="shared" si="5"/>
        <v>24</v>
      </c>
      <c r="P82">
        <f t="shared" si="6"/>
        <v>3</v>
      </c>
      <c r="Q82">
        <f t="shared" si="7"/>
        <v>0.13333333333333333</v>
      </c>
      <c r="R82">
        <v>24</v>
      </c>
      <c r="S82">
        <f t="shared" si="8"/>
        <v>0</v>
      </c>
      <c r="T82">
        <f t="shared" si="9"/>
        <v>0</v>
      </c>
    </row>
    <row r="83" spans="4:20" x14ac:dyDescent="0.25">
      <c r="D83">
        <v>618</v>
      </c>
      <c r="E83" t="s">
        <v>4</v>
      </c>
      <c r="F83">
        <v>24</v>
      </c>
      <c r="M83">
        <v>621</v>
      </c>
      <c r="N83">
        <v>25</v>
      </c>
      <c r="O83">
        <f t="shared" si="5"/>
        <v>25</v>
      </c>
      <c r="P83">
        <f t="shared" si="6"/>
        <v>0</v>
      </c>
      <c r="Q83">
        <f t="shared" si="7"/>
        <v>0</v>
      </c>
      <c r="R83">
        <v>27</v>
      </c>
      <c r="S83">
        <f t="shared" si="8"/>
        <v>2</v>
      </c>
      <c r="T83">
        <f t="shared" si="9"/>
        <v>7.6923076923076927E-2</v>
      </c>
    </row>
    <row r="84" spans="4:20" x14ac:dyDescent="0.25">
      <c r="D84">
        <v>621</v>
      </c>
      <c r="E84" t="s">
        <v>4</v>
      </c>
      <c r="F84">
        <v>25</v>
      </c>
      <c r="M84">
        <v>624</v>
      </c>
      <c r="N84">
        <v>23</v>
      </c>
      <c r="O84">
        <f t="shared" si="5"/>
        <v>20</v>
      </c>
      <c r="P84">
        <f t="shared" si="6"/>
        <v>3</v>
      </c>
      <c r="Q84">
        <f t="shared" si="7"/>
        <v>0.13953488372093023</v>
      </c>
      <c r="R84">
        <v>20</v>
      </c>
      <c r="S84">
        <f t="shared" si="8"/>
        <v>0</v>
      </c>
      <c r="T84">
        <f t="shared" si="9"/>
        <v>0</v>
      </c>
    </row>
    <row r="85" spans="4:20" x14ac:dyDescent="0.25">
      <c r="D85">
        <v>624</v>
      </c>
      <c r="E85" t="s">
        <v>4</v>
      </c>
      <c r="F85">
        <v>20</v>
      </c>
      <c r="M85">
        <v>627</v>
      </c>
      <c r="N85">
        <v>17</v>
      </c>
      <c r="O85">
        <f t="shared" si="5"/>
        <v>16</v>
      </c>
      <c r="P85">
        <f t="shared" si="6"/>
        <v>1</v>
      </c>
      <c r="Q85">
        <f t="shared" si="7"/>
        <v>6.0606060606060608E-2</v>
      </c>
      <c r="R85">
        <v>17</v>
      </c>
      <c r="S85">
        <f t="shared" si="8"/>
        <v>1</v>
      </c>
      <c r="T85">
        <f t="shared" si="9"/>
        <v>6.0606060606060608E-2</v>
      </c>
    </row>
    <row r="86" spans="4:20" x14ac:dyDescent="0.25">
      <c r="D86">
        <v>627</v>
      </c>
      <c r="E86" t="s">
        <v>4</v>
      </c>
      <c r="F86">
        <v>16</v>
      </c>
      <c r="M86">
        <v>628</v>
      </c>
      <c r="N86">
        <v>4</v>
      </c>
      <c r="O86">
        <f t="shared" si="5"/>
        <v>2</v>
      </c>
      <c r="P86">
        <f t="shared" si="6"/>
        <v>2</v>
      </c>
      <c r="Q86">
        <f t="shared" si="7"/>
        <v>0.66666666666666663</v>
      </c>
      <c r="R86">
        <v>4</v>
      </c>
      <c r="S86">
        <f t="shared" si="8"/>
        <v>2</v>
      </c>
      <c r="T86">
        <f t="shared" si="9"/>
        <v>0.66666666666666663</v>
      </c>
    </row>
    <row r="87" spans="4:20" x14ac:dyDescent="0.25">
      <c r="D87">
        <v>628</v>
      </c>
      <c r="E87" t="s">
        <v>4</v>
      </c>
      <c r="F87">
        <v>2</v>
      </c>
      <c r="M87">
        <v>633</v>
      </c>
      <c r="N87">
        <v>10</v>
      </c>
      <c r="O87">
        <f t="shared" si="5"/>
        <v>16</v>
      </c>
      <c r="P87">
        <f t="shared" si="6"/>
        <v>6</v>
      </c>
      <c r="Q87">
        <f t="shared" si="7"/>
        <v>0.46153846153846156</v>
      </c>
      <c r="R87">
        <v>16</v>
      </c>
      <c r="S87">
        <f t="shared" si="8"/>
        <v>0</v>
      </c>
      <c r="T87">
        <f t="shared" si="9"/>
        <v>0</v>
      </c>
    </row>
    <row r="88" spans="4:20" x14ac:dyDescent="0.25">
      <c r="D88">
        <v>633</v>
      </c>
      <c r="E88" t="s">
        <v>4</v>
      </c>
      <c r="F88">
        <v>16</v>
      </c>
      <c r="M88">
        <v>637</v>
      </c>
      <c r="N88">
        <v>4</v>
      </c>
      <c r="O88">
        <f t="shared" si="5"/>
        <v>8</v>
      </c>
      <c r="P88">
        <f t="shared" si="6"/>
        <v>4</v>
      </c>
      <c r="Q88">
        <f t="shared" si="7"/>
        <v>0.66666666666666663</v>
      </c>
      <c r="R88">
        <v>12</v>
      </c>
      <c r="S88">
        <f t="shared" si="8"/>
        <v>4</v>
      </c>
      <c r="T88">
        <f t="shared" si="9"/>
        <v>0.4</v>
      </c>
    </row>
    <row r="89" spans="4:20" x14ac:dyDescent="0.25">
      <c r="D89">
        <v>637</v>
      </c>
      <c r="E89" t="s">
        <v>4</v>
      </c>
      <c r="F89">
        <v>8</v>
      </c>
      <c r="M89">
        <v>640</v>
      </c>
      <c r="N89">
        <v>6</v>
      </c>
      <c r="O89">
        <f t="shared" si="5"/>
        <v>7</v>
      </c>
      <c r="P89">
        <f t="shared" si="6"/>
        <v>1</v>
      </c>
      <c r="Q89">
        <f t="shared" si="7"/>
        <v>0.15384615384615385</v>
      </c>
      <c r="R89">
        <v>8</v>
      </c>
      <c r="S89">
        <f t="shared" si="8"/>
        <v>1</v>
      </c>
      <c r="T89">
        <f t="shared" si="9"/>
        <v>0.13333333333333333</v>
      </c>
    </row>
    <row r="90" spans="4:20" x14ac:dyDescent="0.25">
      <c r="D90">
        <v>640</v>
      </c>
      <c r="E90" t="s">
        <v>4</v>
      </c>
      <c r="F90">
        <v>7</v>
      </c>
      <c r="M90">
        <v>645</v>
      </c>
      <c r="N90">
        <v>20</v>
      </c>
      <c r="O90">
        <f t="shared" si="5"/>
        <v>20</v>
      </c>
      <c r="P90">
        <f t="shared" si="6"/>
        <v>0</v>
      </c>
      <c r="Q90">
        <f t="shared" si="7"/>
        <v>0</v>
      </c>
      <c r="R90">
        <v>20</v>
      </c>
      <c r="S90">
        <f t="shared" si="8"/>
        <v>0</v>
      </c>
      <c r="T90">
        <f t="shared" si="9"/>
        <v>0</v>
      </c>
    </row>
    <row r="91" spans="4:20" x14ac:dyDescent="0.25">
      <c r="D91">
        <v>645</v>
      </c>
      <c r="E91" t="s">
        <v>4</v>
      </c>
      <c r="F91">
        <v>20</v>
      </c>
      <c r="M91">
        <v>648</v>
      </c>
      <c r="N91">
        <v>20</v>
      </c>
      <c r="O91">
        <f t="shared" si="5"/>
        <v>22</v>
      </c>
      <c r="P91">
        <f t="shared" si="6"/>
        <v>2</v>
      </c>
      <c r="Q91">
        <f t="shared" si="7"/>
        <v>9.5238095238095233E-2</v>
      </c>
      <c r="R91">
        <v>24</v>
      </c>
      <c r="S91">
        <f t="shared" si="8"/>
        <v>2</v>
      </c>
      <c r="T91">
        <f t="shared" si="9"/>
        <v>8.6956521739130432E-2</v>
      </c>
    </row>
    <row r="92" spans="4:20" x14ac:dyDescent="0.25">
      <c r="D92">
        <v>648</v>
      </c>
      <c r="E92" t="s">
        <v>4</v>
      </c>
      <c r="F92">
        <v>22</v>
      </c>
      <c r="M92">
        <v>651</v>
      </c>
      <c r="N92">
        <v>6</v>
      </c>
      <c r="O92">
        <f t="shared" si="5"/>
        <v>5</v>
      </c>
      <c r="P92">
        <f t="shared" si="6"/>
        <v>1</v>
      </c>
      <c r="Q92">
        <f t="shared" si="7"/>
        <v>0.18181818181818182</v>
      </c>
      <c r="R92">
        <v>5</v>
      </c>
      <c r="S92">
        <f t="shared" si="8"/>
        <v>0</v>
      </c>
      <c r="T92">
        <f t="shared" si="9"/>
        <v>0</v>
      </c>
    </row>
    <row r="93" spans="4:20" x14ac:dyDescent="0.25">
      <c r="D93">
        <v>651</v>
      </c>
      <c r="E93" t="s">
        <v>4</v>
      </c>
      <c r="F93">
        <v>5</v>
      </c>
      <c r="M93">
        <v>655</v>
      </c>
      <c r="N93">
        <v>9</v>
      </c>
      <c r="O93">
        <f t="shared" si="5"/>
        <v>12</v>
      </c>
      <c r="P93">
        <f t="shared" si="6"/>
        <v>3</v>
      </c>
      <c r="Q93">
        <f t="shared" si="7"/>
        <v>0.2857142857142857</v>
      </c>
      <c r="R93">
        <v>12</v>
      </c>
      <c r="S93">
        <f t="shared" si="8"/>
        <v>0</v>
      </c>
      <c r="T93">
        <f t="shared" si="9"/>
        <v>0</v>
      </c>
    </row>
    <row r="94" spans="4:20" x14ac:dyDescent="0.25">
      <c r="D94">
        <v>655</v>
      </c>
      <c r="E94" t="s">
        <v>4</v>
      </c>
      <c r="F94">
        <v>12</v>
      </c>
      <c r="M94">
        <v>661</v>
      </c>
      <c r="N94">
        <v>13</v>
      </c>
      <c r="O94">
        <f t="shared" si="5"/>
        <v>15</v>
      </c>
      <c r="P94">
        <f t="shared" si="6"/>
        <v>2</v>
      </c>
      <c r="Q94">
        <f t="shared" si="7"/>
        <v>0.14285714285714285</v>
      </c>
      <c r="R94">
        <v>13</v>
      </c>
      <c r="S94">
        <f t="shared" si="8"/>
        <v>2</v>
      </c>
      <c r="T94">
        <f t="shared" si="9"/>
        <v>0.14285714285714285</v>
      </c>
    </row>
    <row r="95" spans="4:20" x14ac:dyDescent="0.25">
      <c r="D95">
        <v>661</v>
      </c>
      <c r="E95" t="s">
        <v>4</v>
      </c>
      <c r="F95">
        <v>15</v>
      </c>
      <c r="M95">
        <v>664</v>
      </c>
      <c r="N95">
        <v>12</v>
      </c>
      <c r="O95">
        <f t="shared" si="5"/>
        <v>13</v>
      </c>
      <c r="P95">
        <f t="shared" si="6"/>
        <v>1</v>
      </c>
      <c r="Q95">
        <f t="shared" si="7"/>
        <v>0.08</v>
      </c>
      <c r="R95">
        <v>13</v>
      </c>
      <c r="S95">
        <f t="shared" si="8"/>
        <v>0</v>
      </c>
      <c r="T95">
        <f t="shared" si="9"/>
        <v>0</v>
      </c>
    </row>
    <row r="96" spans="4:20" x14ac:dyDescent="0.25">
      <c r="D96">
        <v>664</v>
      </c>
      <c r="E96" t="s">
        <v>4</v>
      </c>
      <c r="F96">
        <v>13</v>
      </c>
      <c r="M96">
        <v>669</v>
      </c>
      <c r="N96">
        <v>15</v>
      </c>
      <c r="O96">
        <f t="shared" si="5"/>
        <v>15</v>
      </c>
      <c r="P96">
        <f t="shared" si="6"/>
        <v>0</v>
      </c>
      <c r="Q96">
        <f t="shared" si="7"/>
        <v>0</v>
      </c>
      <c r="R96">
        <v>14</v>
      </c>
      <c r="S96">
        <f t="shared" si="8"/>
        <v>1</v>
      </c>
      <c r="T96">
        <f t="shared" si="9"/>
        <v>6.8965517241379309E-2</v>
      </c>
    </row>
    <row r="97" spans="4:20" x14ac:dyDescent="0.25">
      <c r="D97">
        <v>669</v>
      </c>
      <c r="E97" t="s">
        <v>4</v>
      </c>
      <c r="F97">
        <v>15</v>
      </c>
      <c r="M97">
        <v>672</v>
      </c>
      <c r="N97">
        <v>8</v>
      </c>
      <c r="O97">
        <f t="shared" si="5"/>
        <v>5</v>
      </c>
      <c r="P97">
        <f t="shared" si="6"/>
        <v>3</v>
      </c>
      <c r="Q97">
        <f t="shared" si="7"/>
        <v>0.46153846153846156</v>
      </c>
      <c r="R97">
        <v>10</v>
      </c>
      <c r="S97">
        <f t="shared" si="8"/>
        <v>5</v>
      </c>
      <c r="T97">
        <f t="shared" si="9"/>
        <v>0.66666666666666663</v>
      </c>
    </row>
    <row r="98" spans="4:20" x14ac:dyDescent="0.25">
      <c r="D98">
        <v>672</v>
      </c>
      <c r="E98" t="s">
        <v>4</v>
      </c>
      <c r="F98">
        <v>5</v>
      </c>
      <c r="M98">
        <v>676</v>
      </c>
      <c r="N98">
        <v>14</v>
      </c>
      <c r="O98">
        <f t="shared" si="5"/>
        <v>14</v>
      </c>
      <c r="P98">
        <f t="shared" si="6"/>
        <v>0</v>
      </c>
      <c r="Q98">
        <f t="shared" si="7"/>
        <v>0</v>
      </c>
      <c r="R98">
        <v>14</v>
      </c>
      <c r="S98">
        <f t="shared" si="8"/>
        <v>0</v>
      </c>
      <c r="T98">
        <f t="shared" si="9"/>
        <v>0</v>
      </c>
    </row>
    <row r="99" spans="4:20" x14ac:dyDescent="0.25">
      <c r="D99">
        <v>676</v>
      </c>
      <c r="E99" t="s">
        <v>4</v>
      </c>
      <c r="F99">
        <v>14</v>
      </c>
      <c r="M99">
        <v>678</v>
      </c>
      <c r="N99">
        <v>15</v>
      </c>
      <c r="O99">
        <f t="shared" si="5"/>
        <v>15</v>
      </c>
      <c r="P99">
        <f t="shared" si="6"/>
        <v>0</v>
      </c>
      <c r="Q99">
        <f t="shared" si="7"/>
        <v>0</v>
      </c>
      <c r="R99">
        <v>17</v>
      </c>
      <c r="S99">
        <f t="shared" si="8"/>
        <v>2</v>
      </c>
      <c r="T99">
        <f t="shared" si="9"/>
        <v>0.125</v>
      </c>
    </row>
    <row r="100" spans="4:20" x14ac:dyDescent="0.25">
      <c r="D100">
        <v>678</v>
      </c>
      <c r="E100" t="s">
        <v>4</v>
      </c>
      <c r="F100">
        <v>15</v>
      </c>
      <c r="M100">
        <v>681</v>
      </c>
      <c r="N100">
        <v>25</v>
      </c>
      <c r="O100">
        <f t="shared" si="5"/>
        <v>24</v>
      </c>
      <c r="P100">
        <f t="shared" si="6"/>
        <v>1</v>
      </c>
      <c r="Q100">
        <f t="shared" si="7"/>
        <v>4.0816326530612242E-2</v>
      </c>
      <c r="R100">
        <v>25</v>
      </c>
      <c r="S100">
        <f t="shared" si="8"/>
        <v>1</v>
      </c>
      <c r="T100">
        <f t="shared" si="9"/>
        <v>4.0816326530612242E-2</v>
      </c>
    </row>
    <row r="101" spans="4:20" x14ac:dyDescent="0.25">
      <c r="D101">
        <v>681</v>
      </c>
      <c r="E101" t="s">
        <v>4</v>
      </c>
      <c r="F101">
        <v>24</v>
      </c>
      <c r="M101">
        <v>684</v>
      </c>
      <c r="N101">
        <v>31</v>
      </c>
      <c r="O101">
        <f t="shared" si="5"/>
        <v>30</v>
      </c>
      <c r="P101">
        <f t="shared" si="6"/>
        <v>1</v>
      </c>
      <c r="Q101">
        <f t="shared" si="7"/>
        <v>3.2786885245901641E-2</v>
      </c>
      <c r="R101">
        <v>31</v>
      </c>
      <c r="S101">
        <f t="shared" si="8"/>
        <v>1</v>
      </c>
      <c r="T101">
        <f t="shared" si="9"/>
        <v>3.2786885245901641E-2</v>
      </c>
    </row>
    <row r="102" spans="4:20" x14ac:dyDescent="0.25">
      <c r="D102">
        <v>684</v>
      </c>
      <c r="E102" t="s">
        <v>4</v>
      </c>
      <c r="F102">
        <v>30</v>
      </c>
      <c r="M102">
        <v>689</v>
      </c>
      <c r="N102">
        <v>19</v>
      </c>
      <c r="O102">
        <f t="shared" si="5"/>
        <v>25</v>
      </c>
      <c r="P102">
        <f t="shared" si="6"/>
        <v>6</v>
      </c>
      <c r="Q102">
        <f t="shared" si="7"/>
        <v>0.27272727272727271</v>
      </c>
      <c r="R102">
        <v>24</v>
      </c>
      <c r="S102">
        <f t="shared" si="8"/>
        <v>1</v>
      </c>
      <c r="T102">
        <f t="shared" si="9"/>
        <v>4.0816326530612242E-2</v>
      </c>
    </row>
    <row r="103" spans="4:20" x14ac:dyDescent="0.25">
      <c r="D103">
        <v>689</v>
      </c>
      <c r="E103" t="s">
        <v>4</v>
      </c>
      <c r="F103">
        <v>25</v>
      </c>
      <c r="M103">
        <v>693</v>
      </c>
      <c r="N103">
        <v>24</v>
      </c>
      <c r="O103">
        <f t="shared" si="5"/>
        <v>24</v>
      </c>
      <c r="P103">
        <f t="shared" si="6"/>
        <v>0</v>
      </c>
      <c r="Q103">
        <f t="shared" si="7"/>
        <v>0</v>
      </c>
      <c r="R103">
        <v>24</v>
      </c>
      <c r="S103">
        <f t="shared" si="8"/>
        <v>0</v>
      </c>
      <c r="T103">
        <f t="shared" si="9"/>
        <v>0</v>
      </c>
    </row>
    <row r="104" spans="4:20" x14ac:dyDescent="0.25">
      <c r="D104">
        <v>693</v>
      </c>
      <c r="E104" t="s">
        <v>4</v>
      </c>
      <c r="F104">
        <v>24</v>
      </c>
      <c r="M104">
        <v>696</v>
      </c>
      <c r="N104">
        <v>20</v>
      </c>
      <c r="O104">
        <f t="shared" si="5"/>
        <v>20</v>
      </c>
      <c r="P104">
        <f t="shared" si="6"/>
        <v>0</v>
      </c>
      <c r="Q104">
        <f t="shared" si="7"/>
        <v>0</v>
      </c>
      <c r="R104">
        <v>19</v>
      </c>
      <c r="S104">
        <f t="shared" si="8"/>
        <v>1</v>
      </c>
      <c r="T104">
        <f t="shared" si="9"/>
        <v>5.128205128205128E-2</v>
      </c>
    </row>
    <row r="105" spans="4:20" x14ac:dyDescent="0.25">
      <c r="D105">
        <v>696</v>
      </c>
      <c r="E105" t="s">
        <v>4</v>
      </c>
      <c r="F105">
        <v>20</v>
      </c>
      <c r="M105">
        <v>699</v>
      </c>
      <c r="N105">
        <v>12</v>
      </c>
      <c r="O105">
        <f t="shared" si="5"/>
        <v>13</v>
      </c>
      <c r="P105">
        <f t="shared" si="6"/>
        <v>1</v>
      </c>
      <c r="Q105">
        <f t="shared" si="7"/>
        <v>0.08</v>
      </c>
      <c r="R105">
        <v>16</v>
      </c>
      <c r="S105">
        <f t="shared" si="8"/>
        <v>3</v>
      </c>
      <c r="T105">
        <f t="shared" si="9"/>
        <v>0.20689655172413793</v>
      </c>
    </row>
    <row r="106" spans="4:20" x14ac:dyDescent="0.25">
      <c r="D106">
        <v>699</v>
      </c>
      <c r="E106" t="s">
        <v>4</v>
      </c>
      <c r="F106">
        <v>13</v>
      </c>
      <c r="M106">
        <v>702</v>
      </c>
      <c r="N106">
        <v>4</v>
      </c>
      <c r="O106">
        <f t="shared" si="5"/>
        <v>8</v>
      </c>
      <c r="P106">
        <f t="shared" si="6"/>
        <v>4</v>
      </c>
      <c r="Q106">
        <f t="shared" si="7"/>
        <v>0.66666666666666663</v>
      </c>
      <c r="R106">
        <v>6</v>
      </c>
      <c r="S106">
        <f t="shared" si="8"/>
        <v>2</v>
      </c>
      <c r="T106">
        <f t="shared" si="9"/>
        <v>0.2857142857142857</v>
      </c>
    </row>
    <row r="107" spans="4:20" x14ac:dyDescent="0.25">
      <c r="D107">
        <v>702</v>
      </c>
      <c r="E107" t="s">
        <v>4</v>
      </c>
      <c r="F107">
        <v>8</v>
      </c>
      <c r="M107">
        <v>705</v>
      </c>
      <c r="N107">
        <v>16</v>
      </c>
      <c r="O107">
        <f t="shared" si="5"/>
        <v>15</v>
      </c>
      <c r="P107">
        <f t="shared" si="6"/>
        <v>1</v>
      </c>
      <c r="Q107">
        <f t="shared" si="7"/>
        <v>6.4516129032258063E-2</v>
      </c>
      <c r="R107">
        <v>18</v>
      </c>
      <c r="S107">
        <f t="shared" si="8"/>
        <v>3</v>
      </c>
      <c r="T107">
        <f t="shared" si="9"/>
        <v>0.18181818181818182</v>
      </c>
    </row>
    <row r="108" spans="4:20" x14ac:dyDescent="0.25">
      <c r="D108">
        <v>705</v>
      </c>
      <c r="E108" t="s">
        <v>4</v>
      </c>
      <c r="F108">
        <v>15</v>
      </c>
      <c r="M108">
        <v>709</v>
      </c>
      <c r="N108">
        <v>18</v>
      </c>
      <c r="O108">
        <f t="shared" si="5"/>
        <v>19</v>
      </c>
      <c r="P108">
        <f t="shared" si="6"/>
        <v>1</v>
      </c>
      <c r="Q108">
        <f t="shared" si="7"/>
        <v>5.4054054054054057E-2</v>
      </c>
      <c r="R108">
        <v>22</v>
      </c>
      <c r="S108">
        <f t="shared" si="8"/>
        <v>3</v>
      </c>
      <c r="T108">
        <f t="shared" si="9"/>
        <v>0.14634146341463414</v>
      </c>
    </row>
    <row r="109" spans="4:20" x14ac:dyDescent="0.25">
      <c r="D109">
        <v>709</v>
      </c>
      <c r="E109" t="s">
        <v>4</v>
      </c>
      <c r="F109">
        <v>19</v>
      </c>
      <c r="M109">
        <v>712</v>
      </c>
      <c r="N109">
        <v>2</v>
      </c>
      <c r="O109">
        <f t="shared" si="5"/>
        <v>4</v>
      </c>
      <c r="P109">
        <f t="shared" si="6"/>
        <v>2</v>
      </c>
      <c r="Q109">
        <f t="shared" si="7"/>
        <v>0.66666666666666663</v>
      </c>
      <c r="R109">
        <v>3</v>
      </c>
      <c r="S109">
        <f t="shared" si="8"/>
        <v>1</v>
      </c>
      <c r="T109">
        <f t="shared" si="9"/>
        <v>0.2857142857142857</v>
      </c>
    </row>
    <row r="110" spans="4:20" x14ac:dyDescent="0.25">
      <c r="D110">
        <v>712</v>
      </c>
      <c r="E110" t="s">
        <v>4</v>
      </c>
      <c r="F110">
        <v>4</v>
      </c>
      <c r="M110">
        <v>716</v>
      </c>
      <c r="N110">
        <v>15</v>
      </c>
      <c r="O110">
        <f t="shared" si="5"/>
        <v>21</v>
      </c>
      <c r="P110">
        <f t="shared" si="6"/>
        <v>6</v>
      </c>
      <c r="Q110">
        <f t="shared" si="7"/>
        <v>0.33333333333333331</v>
      </c>
      <c r="R110">
        <v>22</v>
      </c>
      <c r="S110">
        <f t="shared" si="8"/>
        <v>1</v>
      </c>
      <c r="T110">
        <f t="shared" si="9"/>
        <v>4.6511627906976744E-2</v>
      </c>
    </row>
    <row r="111" spans="4:20" x14ac:dyDescent="0.25">
      <c r="D111">
        <v>716</v>
      </c>
      <c r="E111" t="s">
        <v>4</v>
      </c>
      <c r="F111">
        <v>21</v>
      </c>
      <c r="M111">
        <v>718</v>
      </c>
      <c r="N111">
        <v>23</v>
      </c>
      <c r="O111">
        <f t="shared" si="5"/>
        <v>21</v>
      </c>
      <c r="P111">
        <f t="shared" si="6"/>
        <v>2</v>
      </c>
      <c r="Q111">
        <f t="shared" si="7"/>
        <v>9.0909090909090912E-2</v>
      </c>
      <c r="R111">
        <v>24</v>
      </c>
      <c r="S111">
        <f t="shared" si="8"/>
        <v>3</v>
      </c>
      <c r="T111">
        <f t="shared" si="9"/>
        <v>0.13333333333333333</v>
      </c>
    </row>
    <row r="112" spans="4:20" x14ac:dyDescent="0.25">
      <c r="D112">
        <v>718</v>
      </c>
      <c r="E112" t="s">
        <v>4</v>
      </c>
      <c r="F112">
        <v>21</v>
      </c>
      <c r="M112">
        <v>721</v>
      </c>
      <c r="N112">
        <v>16</v>
      </c>
      <c r="O112">
        <f t="shared" si="5"/>
        <v>19</v>
      </c>
      <c r="P112">
        <f t="shared" si="6"/>
        <v>3</v>
      </c>
      <c r="Q112">
        <f t="shared" si="7"/>
        <v>0.17142857142857143</v>
      </c>
      <c r="R112">
        <v>18</v>
      </c>
      <c r="S112">
        <f t="shared" si="8"/>
        <v>1</v>
      </c>
      <c r="T112">
        <f t="shared" si="9"/>
        <v>5.4054054054054057E-2</v>
      </c>
    </row>
    <row r="113" spans="4:20" x14ac:dyDescent="0.25">
      <c r="D113">
        <v>721</v>
      </c>
      <c r="E113" t="s">
        <v>4</v>
      </c>
      <c r="F113">
        <v>19</v>
      </c>
      <c r="M113">
        <v>723</v>
      </c>
      <c r="N113">
        <v>26</v>
      </c>
      <c r="O113">
        <f t="shared" si="5"/>
        <v>19</v>
      </c>
      <c r="P113">
        <f t="shared" si="6"/>
        <v>7</v>
      </c>
      <c r="Q113">
        <f t="shared" si="7"/>
        <v>0.31111111111111112</v>
      </c>
      <c r="R113">
        <v>27</v>
      </c>
      <c r="S113">
        <f t="shared" si="8"/>
        <v>8</v>
      </c>
      <c r="T113">
        <f t="shared" si="9"/>
        <v>0.34782608695652173</v>
      </c>
    </row>
    <row r="114" spans="4:20" x14ac:dyDescent="0.25">
      <c r="D114">
        <v>723</v>
      </c>
      <c r="E114" t="s">
        <v>4</v>
      </c>
      <c r="F114">
        <v>19</v>
      </c>
      <c r="M114">
        <v>725</v>
      </c>
      <c r="N114">
        <v>18</v>
      </c>
      <c r="O114">
        <f t="shared" si="5"/>
        <v>13</v>
      </c>
      <c r="P114">
        <f t="shared" si="6"/>
        <v>5</v>
      </c>
      <c r="Q114">
        <f t="shared" si="7"/>
        <v>0.32258064516129031</v>
      </c>
      <c r="R114">
        <v>18</v>
      </c>
      <c r="S114">
        <f t="shared" si="8"/>
        <v>5</v>
      </c>
      <c r="T114">
        <f t="shared" si="9"/>
        <v>0.32258064516129031</v>
      </c>
    </row>
    <row r="115" spans="4:20" x14ac:dyDescent="0.25">
      <c r="D115">
        <v>725</v>
      </c>
      <c r="E115" t="s">
        <v>4</v>
      </c>
      <c r="F115">
        <v>13</v>
      </c>
      <c r="M115">
        <v>728</v>
      </c>
      <c r="N115">
        <v>18</v>
      </c>
      <c r="O115">
        <f t="shared" si="5"/>
        <v>23</v>
      </c>
      <c r="P115">
        <f t="shared" si="6"/>
        <v>5</v>
      </c>
      <c r="Q115">
        <f t="shared" si="7"/>
        <v>0.24390243902439024</v>
      </c>
      <c r="R115">
        <v>23</v>
      </c>
      <c r="S115">
        <f t="shared" si="8"/>
        <v>0</v>
      </c>
      <c r="T115">
        <f t="shared" si="9"/>
        <v>0</v>
      </c>
    </row>
    <row r="116" spans="4:20" x14ac:dyDescent="0.25">
      <c r="D116">
        <v>728</v>
      </c>
      <c r="E116" t="s">
        <v>4</v>
      </c>
      <c r="F116">
        <v>23</v>
      </c>
      <c r="M116">
        <v>731</v>
      </c>
      <c r="N116">
        <v>6</v>
      </c>
      <c r="O116">
        <f t="shared" si="5"/>
        <v>7</v>
      </c>
      <c r="P116">
        <f t="shared" si="6"/>
        <v>1</v>
      </c>
      <c r="Q116">
        <f t="shared" si="7"/>
        <v>0.15384615384615385</v>
      </c>
      <c r="R116">
        <v>10</v>
      </c>
      <c r="S116">
        <f t="shared" si="8"/>
        <v>3</v>
      </c>
      <c r="T116">
        <f t="shared" si="9"/>
        <v>0.35294117647058826</v>
      </c>
    </row>
    <row r="117" spans="4:20" x14ac:dyDescent="0.25">
      <c r="D117">
        <v>731</v>
      </c>
      <c r="E117" t="s">
        <v>4</v>
      </c>
      <c r="F117">
        <v>7</v>
      </c>
      <c r="M117">
        <v>734</v>
      </c>
      <c r="N117">
        <v>7</v>
      </c>
      <c r="O117">
        <f t="shared" si="5"/>
        <v>7</v>
      </c>
      <c r="P117">
        <f t="shared" si="6"/>
        <v>0</v>
      </c>
      <c r="Q117">
        <f t="shared" si="7"/>
        <v>0</v>
      </c>
      <c r="R117">
        <v>8</v>
      </c>
      <c r="S117">
        <f t="shared" si="8"/>
        <v>1</v>
      </c>
      <c r="T117">
        <f t="shared" si="9"/>
        <v>0.13333333333333333</v>
      </c>
    </row>
    <row r="118" spans="4:20" x14ac:dyDescent="0.25">
      <c r="D118">
        <v>734</v>
      </c>
      <c r="E118" t="s">
        <v>4</v>
      </c>
      <c r="F118">
        <v>7</v>
      </c>
      <c r="M118">
        <v>738</v>
      </c>
      <c r="N118">
        <v>11</v>
      </c>
      <c r="O118">
        <f t="shared" si="5"/>
        <v>12</v>
      </c>
      <c r="P118">
        <f t="shared" si="6"/>
        <v>1</v>
      </c>
      <c r="Q118">
        <f t="shared" si="7"/>
        <v>8.6956521739130432E-2</v>
      </c>
      <c r="R118">
        <v>10</v>
      </c>
      <c r="S118">
        <f t="shared" si="8"/>
        <v>2</v>
      </c>
      <c r="T118">
        <f t="shared" si="9"/>
        <v>0.18181818181818182</v>
      </c>
    </row>
    <row r="119" spans="4:20" x14ac:dyDescent="0.25">
      <c r="D119">
        <v>738</v>
      </c>
      <c r="E119" t="s">
        <v>4</v>
      </c>
      <c r="F119">
        <v>12</v>
      </c>
    </row>
    <row r="122" spans="4:20" x14ac:dyDescent="0.25">
      <c r="K122" t="s">
        <v>0</v>
      </c>
      <c r="L122" t="s">
        <v>2</v>
      </c>
      <c r="M122" t="s">
        <v>29</v>
      </c>
      <c r="N122" t="s">
        <v>30</v>
      </c>
    </row>
    <row r="123" spans="4:20" x14ac:dyDescent="0.25">
      <c r="K123">
        <v>371</v>
      </c>
      <c r="L123">
        <f t="shared" ref="L123:L154" si="10">VLOOKUP(K123,$D$2:$F$119,3,FALSE)</f>
        <v>33</v>
      </c>
      <c r="M123">
        <v>28</v>
      </c>
      <c r="N123">
        <v>38</v>
      </c>
    </row>
    <row r="124" spans="4:20" x14ac:dyDescent="0.25">
      <c r="K124">
        <v>378</v>
      </c>
      <c r="L124">
        <f t="shared" si="10"/>
        <v>51</v>
      </c>
      <c r="M124">
        <v>35</v>
      </c>
      <c r="N124">
        <v>54</v>
      </c>
    </row>
    <row r="125" spans="4:20" x14ac:dyDescent="0.25">
      <c r="K125">
        <v>380</v>
      </c>
      <c r="L125">
        <f t="shared" si="10"/>
        <v>94</v>
      </c>
      <c r="M125">
        <v>44</v>
      </c>
      <c r="N125">
        <v>93</v>
      </c>
    </row>
    <row r="126" spans="4:20" x14ac:dyDescent="0.25">
      <c r="K126">
        <v>384</v>
      </c>
      <c r="L126">
        <f t="shared" si="10"/>
        <v>147</v>
      </c>
      <c r="M126">
        <v>113</v>
      </c>
      <c r="N126">
        <v>143</v>
      </c>
    </row>
    <row r="127" spans="4:20" x14ac:dyDescent="0.25">
      <c r="K127">
        <v>389</v>
      </c>
      <c r="L127">
        <f t="shared" si="10"/>
        <v>172</v>
      </c>
      <c r="M127">
        <v>107</v>
      </c>
      <c r="N127">
        <v>158</v>
      </c>
    </row>
    <row r="128" spans="4:20" x14ac:dyDescent="0.25">
      <c r="K128">
        <v>393</v>
      </c>
      <c r="L128">
        <f t="shared" si="10"/>
        <v>191</v>
      </c>
      <c r="M128">
        <v>124</v>
      </c>
      <c r="N128">
        <v>179</v>
      </c>
    </row>
    <row r="129" spans="11:14" x14ac:dyDescent="0.25">
      <c r="K129">
        <v>397</v>
      </c>
      <c r="L129">
        <f t="shared" si="10"/>
        <v>196</v>
      </c>
      <c r="M129">
        <v>155</v>
      </c>
      <c r="N129">
        <v>184</v>
      </c>
    </row>
    <row r="130" spans="11:14" x14ac:dyDescent="0.25">
      <c r="K130">
        <v>402</v>
      </c>
      <c r="L130">
        <f t="shared" si="10"/>
        <v>186</v>
      </c>
      <c r="M130">
        <v>151</v>
      </c>
      <c r="N130">
        <v>180</v>
      </c>
    </row>
    <row r="131" spans="11:14" x14ac:dyDescent="0.25">
      <c r="K131">
        <v>405</v>
      </c>
      <c r="L131">
        <f t="shared" si="10"/>
        <v>187</v>
      </c>
      <c r="M131">
        <v>161</v>
      </c>
      <c r="N131">
        <v>173</v>
      </c>
    </row>
    <row r="132" spans="11:14" x14ac:dyDescent="0.25">
      <c r="K132">
        <v>408</v>
      </c>
      <c r="L132">
        <f t="shared" si="10"/>
        <v>220</v>
      </c>
      <c r="M132">
        <v>201</v>
      </c>
      <c r="N132">
        <v>214</v>
      </c>
    </row>
    <row r="133" spans="11:14" x14ac:dyDescent="0.25">
      <c r="K133">
        <v>411</v>
      </c>
      <c r="L133">
        <f t="shared" si="10"/>
        <v>194</v>
      </c>
      <c r="M133">
        <v>167</v>
      </c>
      <c r="N133">
        <v>187</v>
      </c>
    </row>
    <row r="134" spans="11:14" x14ac:dyDescent="0.25">
      <c r="K134">
        <v>416</v>
      </c>
      <c r="L134">
        <f t="shared" si="10"/>
        <v>223</v>
      </c>
      <c r="M134">
        <v>162</v>
      </c>
      <c r="N134">
        <v>201</v>
      </c>
    </row>
    <row r="135" spans="11:14" x14ac:dyDescent="0.25">
      <c r="K135">
        <v>419</v>
      </c>
      <c r="L135">
        <f t="shared" si="10"/>
        <v>171</v>
      </c>
      <c r="M135">
        <v>171</v>
      </c>
      <c r="N135">
        <v>171</v>
      </c>
    </row>
    <row r="136" spans="11:14" x14ac:dyDescent="0.25">
      <c r="K136">
        <v>422</v>
      </c>
      <c r="L136">
        <f t="shared" si="10"/>
        <v>171</v>
      </c>
      <c r="M136">
        <v>159</v>
      </c>
      <c r="N136">
        <v>170</v>
      </c>
    </row>
    <row r="137" spans="11:14" x14ac:dyDescent="0.25">
      <c r="K137">
        <v>425</v>
      </c>
      <c r="L137">
        <f t="shared" si="10"/>
        <v>168</v>
      </c>
      <c r="M137">
        <v>169</v>
      </c>
      <c r="N137">
        <v>163</v>
      </c>
    </row>
    <row r="138" spans="11:14" x14ac:dyDescent="0.25">
      <c r="K138">
        <v>428</v>
      </c>
      <c r="L138">
        <f t="shared" si="10"/>
        <v>149</v>
      </c>
      <c r="M138">
        <v>131</v>
      </c>
      <c r="N138">
        <v>155</v>
      </c>
    </row>
    <row r="139" spans="11:14" x14ac:dyDescent="0.25">
      <c r="K139">
        <v>431</v>
      </c>
      <c r="L139">
        <f t="shared" si="10"/>
        <v>124</v>
      </c>
      <c r="M139">
        <v>115</v>
      </c>
      <c r="N139">
        <v>120</v>
      </c>
    </row>
    <row r="140" spans="11:14" x14ac:dyDescent="0.25">
      <c r="K140">
        <v>433</v>
      </c>
      <c r="L140">
        <f t="shared" si="10"/>
        <v>177</v>
      </c>
      <c r="M140">
        <v>142</v>
      </c>
      <c r="N140">
        <v>166</v>
      </c>
    </row>
    <row r="141" spans="11:14" x14ac:dyDescent="0.25">
      <c r="K141">
        <v>436</v>
      </c>
      <c r="L141">
        <f t="shared" si="10"/>
        <v>230</v>
      </c>
      <c r="M141">
        <v>163</v>
      </c>
      <c r="N141">
        <v>228</v>
      </c>
    </row>
    <row r="142" spans="11:14" x14ac:dyDescent="0.25">
      <c r="K142">
        <v>440</v>
      </c>
      <c r="L142">
        <f t="shared" si="10"/>
        <v>211</v>
      </c>
      <c r="M142">
        <v>138</v>
      </c>
      <c r="N142">
        <v>197</v>
      </c>
    </row>
    <row r="143" spans="11:14" x14ac:dyDescent="0.25">
      <c r="K143">
        <v>443</v>
      </c>
      <c r="L143">
        <f t="shared" si="10"/>
        <v>164</v>
      </c>
      <c r="M143">
        <v>131</v>
      </c>
      <c r="N143">
        <v>155</v>
      </c>
    </row>
    <row r="144" spans="11:14" x14ac:dyDescent="0.25">
      <c r="K144">
        <v>446</v>
      </c>
      <c r="L144">
        <f t="shared" si="10"/>
        <v>221</v>
      </c>
      <c r="M144">
        <v>134</v>
      </c>
      <c r="N144">
        <v>200</v>
      </c>
    </row>
    <row r="145" spans="11:14" x14ac:dyDescent="0.25">
      <c r="K145">
        <v>450</v>
      </c>
      <c r="L145">
        <f t="shared" si="10"/>
        <v>187</v>
      </c>
      <c r="M145">
        <v>123</v>
      </c>
      <c r="N145">
        <v>174</v>
      </c>
    </row>
    <row r="146" spans="11:14" x14ac:dyDescent="0.25">
      <c r="K146">
        <v>453</v>
      </c>
      <c r="L146">
        <f t="shared" si="10"/>
        <v>94</v>
      </c>
      <c r="M146">
        <v>63</v>
      </c>
      <c r="N146">
        <v>81</v>
      </c>
    </row>
    <row r="147" spans="11:14" x14ac:dyDescent="0.25">
      <c r="K147">
        <v>455</v>
      </c>
      <c r="L147">
        <f t="shared" si="10"/>
        <v>234</v>
      </c>
      <c r="M147">
        <v>134</v>
      </c>
      <c r="N147">
        <v>223</v>
      </c>
    </row>
    <row r="148" spans="11:14" x14ac:dyDescent="0.25">
      <c r="K148">
        <v>458</v>
      </c>
      <c r="L148">
        <f t="shared" si="10"/>
        <v>234</v>
      </c>
      <c r="M148">
        <v>147</v>
      </c>
      <c r="N148">
        <v>234</v>
      </c>
    </row>
    <row r="149" spans="11:14" x14ac:dyDescent="0.25">
      <c r="K149">
        <v>461</v>
      </c>
      <c r="L149">
        <f t="shared" si="10"/>
        <v>203</v>
      </c>
      <c r="M149">
        <v>200</v>
      </c>
      <c r="N149">
        <v>205</v>
      </c>
    </row>
    <row r="150" spans="11:14" x14ac:dyDescent="0.25">
      <c r="K150">
        <v>466</v>
      </c>
      <c r="L150">
        <f t="shared" si="10"/>
        <v>255</v>
      </c>
      <c r="M150">
        <v>178</v>
      </c>
      <c r="N150">
        <v>247</v>
      </c>
    </row>
    <row r="151" spans="11:14" x14ac:dyDescent="0.25">
      <c r="K151">
        <v>470</v>
      </c>
      <c r="L151">
        <f t="shared" si="10"/>
        <v>263</v>
      </c>
      <c r="M151">
        <v>175</v>
      </c>
      <c r="N151">
        <v>252</v>
      </c>
    </row>
    <row r="152" spans="11:14" x14ac:dyDescent="0.25">
      <c r="K152">
        <v>473</v>
      </c>
      <c r="L152">
        <f t="shared" si="10"/>
        <v>167</v>
      </c>
      <c r="M152">
        <v>168</v>
      </c>
      <c r="N152">
        <v>170</v>
      </c>
    </row>
    <row r="153" spans="11:14" x14ac:dyDescent="0.25">
      <c r="K153">
        <v>475</v>
      </c>
      <c r="L153">
        <f t="shared" si="10"/>
        <v>263</v>
      </c>
      <c r="M153">
        <v>284</v>
      </c>
      <c r="N153">
        <v>263</v>
      </c>
    </row>
    <row r="154" spans="11:14" x14ac:dyDescent="0.25">
      <c r="K154">
        <v>478</v>
      </c>
      <c r="L154">
        <f t="shared" si="10"/>
        <v>189</v>
      </c>
      <c r="M154">
        <v>186</v>
      </c>
      <c r="N154">
        <v>186</v>
      </c>
    </row>
    <row r="155" spans="11:14" x14ac:dyDescent="0.25">
      <c r="K155">
        <v>481</v>
      </c>
      <c r="L155">
        <f t="shared" ref="L155:L186" si="11">VLOOKUP(K155,$D$2:$F$119,3,FALSE)</f>
        <v>169</v>
      </c>
      <c r="M155">
        <v>159</v>
      </c>
      <c r="N155">
        <v>162</v>
      </c>
    </row>
    <row r="156" spans="11:14" x14ac:dyDescent="0.25">
      <c r="K156">
        <v>484</v>
      </c>
      <c r="L156">
        <f t="shared" si="11"/>
        <v>181</v>
      </c>
      <c r="M156">
        <v>172</v>
      </c>
      <c r="N156">
        <v>185</v>
      </c>
    </row>
    <row r="157" spans="11:14" x14ac:dyDescent="0.25">
      <c r="K157">
        <v>487</v>
      </c>
      <c r="L157">
        <f t="shared" si="11"/>
        <v>200</v>
      </c>
      <c r="M157">
        <v>142</v>
      </c>
      <c r="N157">
        <v>202</v>
      </c>
    </row>
    <row r="158" spans="11:14" x14ac:dyDescent="0.25">
      <c r="K158">
        <v>490</v>
      </c>
      <c r="L158">
        <f t="shared" si="11"/>
        <v>165</v>
      </c>
      <c r="M158">
        <v>157</v>
      </c>
      <c r="N158">
        <v>151</v>
      </c>
    </row>
    <row r="159" spans="11:14" x14ac:dyDescent="0.25">
      <c r="K159">
        <v>495</v>
      </c>
      <c r="L159">
        <f t="shared" si="11"/>
        <v>171</v>
      </c>
      <c r="M159">
        <v>192</v>
      </c>
      <c r="N159">
        <v>172</v>
      </c>
    </row>
    <row r="160" spans="11:14" x14ac:dyDescent="0.25">
      <c r="K160">
        <v>499</v>
      </c>
      <c r="L160">
        <f t="shared" si="11"/>
        <v>197</v>
      </c>
      <c r="M160">
        <v>153</v>
      </c>
      <c r="N160">
        <v>188</v>
      </c>
    </row>
    <row r="161" spans="11:14" x14ac:dyDescent="0.25">
      <c r="K161">
        <v>503</v>
      </c>
      <c r="L161">
        <f t="shared" si="11"/>
        <v>172</v>
      </c>
      <c r="M161">
        <v>160</v>
      </c>
      <c r="N161">
        <v>171</v>
      </c>
    </row>
    <row r="162" spans="11:14" x14ac:dyDescent="0.25">
      <c r="K162">
        <v>506</v>
      </c>
      <c r="L162">
        <f t="shared" si="11"/>
        <v>179</v>
      </c>
      <c r="M162">
        <v>170</v>
      </c>
      <c r="N162">
        <v>180</v>
      </c>
    </row>
    <row r="163" spans="11:14" x14ac:dyDescent="0.25">
      <c r="K163">
        <v>509</v>
      </c>
      <c r="L163">
        <f t="shared" si="11"/>
        <v>115</v>
      </c>
      <c r="M163">
        <v>119</v>
      </c>
      <c r="N163">
        <v>114</v>
      </c>
    </row>
    <row r="164" spans="11:14" x14ac:dyDescent="0.25">
      <c r="K164">
        <v>512</v>
      </c>
      <c r="L164">
        <f t="shared" si="11"/>
        <v>166</v>
      </c>
      <c r="M164">
        <v>150</v>
      </c>
      <c r="N164">
        <v>173</v>
      </c>
    </row>
    <row r="165" spans="11:14" x14ac:dyDescent="0.25">
      <c r="K165">
        <v>515</v>
      </c>
      <c r="L165">
        <f t="shared" si="11"/>
        <v>158</v>
      </c>
      <c r="M165">
        <v>135</v>
      </c>
      <c r="N165">
        <v>174</v>
      </c>
    </row>
    <row r="166" spans="11:14" x14ac:dyDescent="0.25">
      <c r="K166">
        <v>518</v>
      </c>
      <c r="L166">
        <f t="shared" si="11"/>
        <v>167</v>
      </c>
      <c r="M166">
        <v>166</v>
      </c>
      <c r="N166">
        <v>162</v>
      </c>
    </row>
    <row r="167" spans="11:14" x14ac:dyDescent="0.25">
      <c r="K167">
        <v>521</v>
      </c>
      <c r="L167">
        <f t="shared" si="11"/>
        <v>219</v>
      </c>
      <c r="M167">
        <v>190</v>
      </c>
      <c r="N167">
        <v>204</v>
      </c>
    </row>
    <row r="168" spans="11:14" x14ac:dyDescent="0.25">
      <c r="K168">
        <v>525</v>
      </c>
      <c r="L168">
        <f t="shared" si="11"/>
        <v>154</v>
      </c>
      <c r="M168">
        <v>134</v>
      </c>
      <c r="N168">
        <v>140</v>
      </c>
    </row>
    <row r="169" spans="11:14" x14ac:dyDescent="0.25">
      <c r="K169">
        <v>529</v>
      </c>
      <c r="L169">
        <f t="shared" si="11"/>
        <v>143</v>
      </c>
      <c r="M169">
        <v>105</v>
      </c>
      <c r="N169">
        <v>131</v>
      </c>
    </row>
    <row r="170" spans="11:14" x14ac:dyDescent="0.25">
      <c r="K170">
        <v>533</v>
      </c>
      <c r="L170">
        <f t="shared" si="11"/>
        <v>118</v>
      </c>
      <c r="M170">
        <v>117</v>
      </c>
      <c r="N170">
        <v>136</v>
      </c>
    </row>
    <row r="171" spans="11:14" x14ac:dyDescent="0.25">
      <c r="K171">
        <v>536</v>
      </c>
      <c r="L171">
        <f t="shared" si="11"/>
        <v>125</v>
      </c>
      <c r="M171">
        <v>115</v>
      </c>
      <c r="N171">
        <v>124</v>
      </c>
    </row>
    <row r="172" spans="11:14" x14ac:dyDescent="0.25">
      <c r="K172">
        <v>545</v>
      </c>
      <c r="L172">
        <f t="shared" si="11"/>
        <v>10</v>
      </c>
      <c r="M172">
        <v>8</v>
      </c>
      <c r="N172">
        <v>7</v>
      </c>
    </row>
    <row r="173" spans="11:14" x14ac:dyDescent="0.25">
      <c r="K173">
        <v>547</v>
      </c>
      <c r="L173">
        <f t="shared" si="11"/>
        <v>24</v>
      </c>
      <c r="M173">
        <v>11</v>
      </c>
      <c r="N173">
        <v>19</v>
      </c>
    </row>
    <row r="174" spans="11:14" x14ac:dyDescent="0.25">
      <c r="K174">
        <v>550</v>
      </c>
      <c r="L174">
        <f t="shared" si="11"/>
        <v>18</v>
      </c>
      <c r="M174">
        <v>10</v>
      </c>
      <c r="N174">
        <v>13</v>
      </c>
    </row>
    <row r="175" spans="11:14" x14ac:dyDescent="0.25">
      <c r="K175">
        <v>553</v>
      </c>
      <c r="L175">
        <f t="shared" si="11"/>
        <v>24</v>
      </c>
      <c r="M175">
        <v>19</v>
      </c>
      <c r="N175">
        <v>25</v>
      </c>
    </row>
    <row r="176" spans="11:14" x14ac:dyDescent="0.25">
      <c r="K176">
        <v>556</v>
      </c>
      <c r="L176">
        <f t="shared" si="11"/>
        <v>39</v>
      </c>
      <c r="M176">
        <v>32</v>
      </c>
      <c r="N176">
        <v>36</v>
      </c>
    </row>
    <row r="177" spans="11:14" x14ac:dyDescent="0.25">
      <c r="K177">
        <v>558</v>
      </c>
      <c r="L177">
        <f t="shared" si="11"/>
        <v>39</v>
      </c>
      <c r="M177">
        <v>27</v>
      </c>
      <c r="N177">
        <v>41</v>
      </c>
    </row>
    <row r="178" spans="11:14" x14ac:dyDescent="0.25">
      <c r="K178">
        <v>561</v>
      </c>
      <c r="L178">
        <f t="shared" si="11"/>
        <v>38</v>
      </c>
      <c r="M178">
        <v>26</v>
      </c>
      <c r="N178">
        <v>38</v>
      </c>
    </row>
    <row r="179" spans="11:14" x14ac:dyDescent="0.25">
      <c r="K179">
        <v>564</v>
      </c>
      <c r="L179">
        <f t="shared" si="11"/>
        <v>24</v>
      </c>
      <c r="M179">
        <v>20</v>
      </c>
      <c r="N179">
        <v>26</v>
      </c>
    </row>
    <row r="180" spans="11:14" x14ac:dyDescent="0.25">
      <c r="K180">
        <v>567</v>
      </c>
      <c r="L180">
        <f t="shared" si="11"/>
        <v>15</v>
      </c>
      <c r="M180">
        <v>7</v>
      </c>
      <c r="N180">
        <v>12</v>
      </c>
    </row>
    <row r="181" spans="11:14" x14ac:dyDescent="0.25">
      <c r="K181">
        <v>569</v>
      </c>
      <c r="L181">
        <f t="shared" si="11"/>
        <v>15</v>
      </c>
      <c r="M181">
        <v>10</v>
      </c>
      <c r="N181">
        <v>13</v>
      </c>
    </row>
    <row r="182" spans="11:14" x14ac:dyDescent="0.25">
      <c r="K182">
        <v>572</v>
      </c>
      <c r="L182">
        <f t="shared" si="11"/>
        <v>33</v>
      </c>
      <c r="M182">
        <v>31</v>
      </c>
      <c r="N182">
        <v>31</v>
      </c>
    </row>
    <row r="183" spans="11:14" x14ac:dyDescent="0.25">
      <c r="K183">
        <v>574</v>
      </c>
      <c r="L183">
        <f t="shared" si="11"/>
        <v>22</v>
      </c>
      <c r="M183">
        <v>21</v>
      </c>
      <c r="N183">
        <v>19</v>
      </c>
    </row>
    <row r="184" spans="11:14" x14ac:dyDescent="0.25">
      <c r="K184">
        <v>576</v>
      </c>
      <c r="L184">
        <f t="shared" si="11"/>
        <v>9</v>
      </c>
      <c r="M184">
        <v>11</v>
      </c>
      <c r="N184">
        <v>9</v>
      </c>
    </row>
    <row r="185" spans="11:14" x14ac:dyDescent="0.25">
      <c r="K185">
        <v>577</v>
      </c>
      <c r="L185">
        <f t="shared" si="11"/>
        <v>15</v>
      </c>
      <c r="M185">
        <v>14</v>
      </c>
      <c r="N185">
        <v>15</v>
      </c>
    </row>
    <row r="186" spans="11:14" x14ac:dyDescent="0.25">
      <c r="K186">
        <v>580</v>
      </c>
      <c r="L186">
        <f t="shared" si="11"/>
        <v>20</v>
      </c>
      <c r="M186">
        <v>21</v>
      </c>
      <c r="N186">
        <v>25</v>
      </c>
    </row>
    <row r="187" spans="11:14" x14ac:dyDescent="0.25">
      <c r="K187">
        <v>584</v>
      </c>
      <c r="L187">
        <f t="shared" ref="L187:L218" si="12">VLOOKUP(K187,$D$2:$F$119,3,FALSE)</f>
        <v>28</v>
      </c>
      <c r="M187">
        <v>23</v>
      </c>
      <c r="N187">
        <v>25</v>
      </c>
    </row>
    <row r="188" spans="11:14" x14ac:dyDescent="0.25">
      <c r="K188">
        <v>586</v>
      </c>
      <c r="L188">
        <f t="shared" si="12"/>
        <v>19</v>
      </c>
      <c r="M188">
        <v>17</v>
      </c>
      <c r="N188">
        <v>16</v>
      </c>
    </row>
    <row r="189" spans="11:14" x14ac:dyDescent="0.25">
      <c r="K189">
        <v>587</v>
      </c>
      <c r="L189">
        <f t="shared" si="12"/>
        <v>2</v>
      </c>
      <c r="M189">
        <v>3</v>
      </c>
      <c r="N189">
        <v>3</v>
      </c>
    </row>
    <row r="190" spans="11:14" x14ac:dyDescent="0.25">
      <c r="K190">
        <v>589</v>
      </c>
      <c r="L190">
        <f t="shared" si="12"/>
        <v>20</v>
      </c>
      <c r="M190">
        <v>22</v>
      </c>
      <c r="N190">
        <v>22</v>
      </c>
    </row>
    <row r="191" spans="11:14" x14ac:dyDescent="0.25">
      <c r="K191">
        <v>592</v>
      </c>
      <c r="L191">
        <f t="shared" si="12"/>
        <v>17</v>
      </c>
      <c r="M191">
        <v>11</v>
      </c>
      <c r="N191">
        <v>15</v>
      </c>
    </row>
    <row r="192" spans="11:14" x14ac:dyDescent="0.25">
      <c r="K192">
        <v>594</v>
      </c>
      <c r="L192">
        <f t="shared" si="12"/>
        <v>23</v>
      </c>
      <c r="M192">
        <v>12</v>
      </c>
      <c r="N192">
        <v>23</v>
      </c>
    </row>
    <row r="193" spans="11:14" x14ac:dyDescent="0.25">
      <c r="K193">
        <v>596</v>
      </c>
      <c r="L193">
        <f t="shared" si="12"/>
        <v>17</v>
      </c>
      <c r="M193">
        <v>17</v>
      </c>
      <c r="N193">
        <v>15</v>
      </c>
    </row>
    <row r="194" spans="11:14" x14ac:dyDescent="0.25">
      <c r="K194">
        <v>598</v>
      </c>
      <c r="L194">
        <f t="shared" si="12"/>
        <v>16</v>
      </c>
      <c r="M194">
        <v>12</v>
      </c>
      <c r="N194">
        <v>16</v>
      </c>
    </row>
    <row r="195" spans="11:14" x14ac:dyDescent="0.25">
      <c r="K195">
        <v>601</v>
      </c>
      <c r="L195">
        <f t="shared" si="12"/>
        <v>30</v>
      </c>
      <c r="M195">
        <v>31</v>
      </c>
      <c r="N195">
        <v>33</v>
      </c>
    </row>
    <row r="196" spans="11:14" x14ac:dyDescent="0.25">
      <c r="K196">
        <v>603</v>
      </c>
      <c r="L196">
        <f t="shared" si="12"/>
        <v>20</v>
      </c>
      <c r="M196">
        <v>19</v>
      </c>
      <c r="N196">
        <v>19</v>
      </c>
    </row>
    <row r="197" spans="11:14" x14ac:dyDescent="0.25">
      <c r="K197">
        <v>606</v>
      </c>
      <c r="L197">
        <f t="shared" si="12"/>
        <v>49</v>
      </c>
      <c r="M197">
        <v>49</v>
      </c>
      <c r="N197">
        <v>50</v>
      </c>
    </row>
    <row r="198" spans="11:14" x14ac:dyDescent="0.25">
      <c r="K198">
        <v>609</v>
      </c>
      <c r="L198">
        <f t="shared" si="12"/>
        <v>44</v>
      </c>
      <c r="M198">
        <v>40</v>
      </c>
      <c r="N198">
        <v>46</v>
      </c>
    </row>
    <row r="199" spans="11:14" x14ac:dyDescent="0.25">
      <c r="K199">
        <v>612</v>
      </c>
      <c r="L199">
        <f t="shared" si="12"/>
        <v>25</v>
      </c>
      <c r="M199">
        <v>28</v>
      </c>
      <c r="N199">
        <v>25</v>
      </c>
    </row>
    <row r="200" spans="11:14" x14ac:dyDescent="0.25">
      <c r="K200">
        <v>615</v>
      </c>
      <c r="L200">
        <f t="shared" si="12"/>
        <v>42</v>
      </c>
      <c r="M200">
        <v>37</v>
      </c>
      <c r="N200">
        <v>40</v>
      </c>
    </row>
    <row r="201" spans="11:14" x14ac:dyDescent="0.25">
      <c r="K201">
        <v>618</v>
      </c>
      <c r="L201">
        <f t="shared" si="12"/>
        <v>24</v>
      </c>
      <c r="M201">
        <v>21</v>
      </c>
      <c r="N201">
        <v>24</v>
      </c>
    </row>
    <row r="202" spans="11:14" x14ac:dyDescent="0.25">
      <c r="K202">
        <v>621</v>
      </c>
      <c r="L202">
        <f t="shared" si="12"/>
        <v>25</v>
      </c>
      <c r="M202">
        <v>25</v>
      </c>
      <c r="N202">
        <v>27</v>
      </c>
    </row>
    <row r="203" spans="11:14" x14ac:dyDescent="0.25">
      <c r="K203">
        <v>624</v>
      </c>
      <c r="L203">
        <f t="shared" si="12"/>
        <v>20</v>
      </c>
      <c r="M203">
        <v>23</v>
      </c>
      <c r="N203">
        <v>20</v>
      </c>
    </row>
    <row r="204" spans="11:14" x14ac:dyDescent="0.25">
      <c r="K204">
        <v>627</v>
      </c>
      <c r="L204">
        <f t="shared" si="12"/>
        <v>16</v>
      </c>
      <c r="M204">
        <v>17</v>
      </c>
      <c r="N204">
        <v>17</v>
      </c>
    </row>
    <row r="205" spans="11:14" x14ac:dyDescent="0.25">
      <c r="K205">
        <v>628</v>
      </c>
      <c r="L205">
        <f t="shared" si="12"/>
        <v>2</v>
      </c>
      <c r="M205">
        <v>4</v>
      </c>
      <c r="N205">
        <v>4</v>
      </c>
    </row>
    <row r="206" spans="11:14" x14ac:dyDescent="0.25">
      <c r="K206">
        <v>633</v>
      </c>
      <c r="L206">
        <f t="shared" si="12"/>
        <v>16</v>
      </c>
      <c r="M206">
        <v>10</v>
      </c>
      <c r="N206">
        <v>16</v>
      </c>
    </row>
    <row r="207" spans="11:14" x14ac:dyDescent="0.25">
      <c r="K207">
        <v>637</v>
      </c>
      <c r="L207">
        <f t="shared" si="12"/>
        <v>8</v>
      </c>
      <c r="M207">
        <v>4</v>
      </c>
      <c r="N207">
        <v>12</v>
      </c>
    </row>
    <row r="208" spans="11:14" x14ac:dyDescent="0.25">
      <c r="K208">
        <v>640</v>
      </c>
      <c r="L208">
        <f t="shared" si="12"/>
        <v>7</v>
      </c>
      <c r="M208">
        <v>6</v>
      </c>
      <c r="N208">
        <v>8</v>
      </c>
    </row>
    <row r="209" spans="11:14" x14ac:dyDescent="0.25">
      <c r="K209">
        <v>645</v>
      </c>
      <c r="L209">
        <f t="shared" si="12"/>
        <v>20</v>
      </c>
      <c r="M209">
        <v>20</v>
      </c>
      <c r="N209">
        <v>20</v>
      </c>
    </row>
    <row r="210" spans="11:14" x14ac:dyDescent="0.25">
      <c r="K210">
        <v>648</v>
      </c>
      <c r="L210">
        <f t="shared" si="12"/>
        <v>22</v>
      </c>
      <c r="M210">
        <v>20</v>
      </c>
      <c r="N210">
        <v>24</v>
      </c>
    </row>
    <row r="211" spans="11:14" x14ac:dyDescent="0.25">
      <c r="K211">
        <v>651</v>
      </c>
      <c r="L211">
        <f t="shared" si="12"/>
        <v>5</v>
      </c>
      <c r="M211">
        <v>6</v>
      </c>
      <c r="N211">
        <v>5</v>
      </c>
    </row>
    <row r="212" spans="11:14" x14ac:dyDescent="0.25">
      <c r="K212">
        <v>655</v>
      </c>
      <c r="L212">
        <f t="shared" si="12"/>
        <v>12</v>
      </c>
      <c r="M212">
        <v>9</v>
      </c>
      <c r="N212">
        <v>12</v>
      </c>
    </row>
    <row r="213" spans="11:14" x14ac:dyDescent="0.25">
      <c r="K213">
        <v>661</v>
      </c>
      <c r="L213">
        <f t="shared" si="12"/>
        <v>15</v>
      </c>
      <c r="M213">
        <v>13</v>
      </c>
      <c r="N213">
        <v>13</v>
      </c>
    </row>
    <row r="214" spans="11:14" x14ac:dyDescent="0.25">
      <c r="K214">
        <v>664</v>
      </c>
      <c r="L214">
        <f t="shared" si="12"/>
        <v>13</v>
      </c>
      <c r="M214">
        <v>12</v>
      </c>
      <c r="N214">
        <v>13</v>
      </c>
    </row>
    <row r="215" spans="11:14" x14ac:dyDescent="0.25">
      <c r="K215">
        <v>669</v>
      </c>
      <c r="L215">
        <f t="shared" si="12"/>
        <v>15</v>
      </c>
      <c r="M215">
        <v>15</v>
      </c>
      <c r="N215">
        <v>14</v>
      </c>
    </row>
    <row r="216" spans="11:14" x14ac:dyDescent="0.25">
      <c r="K216">
        <v>672</v>
      </c>
      <c r="L216">
        <f t="shared" si="12"/>
        <v>5</v>
      </c>
      <c r="M216">
        <v>8</v>
      </c>
      <c r="N216">
        <v>10</v>
      </c>
    </row>
    <row r="217" spans="11:14" x14ac:dyDescent="0.25">
      <c r="K217">
        <v>676</v>
      </c>
      <c r="L217">
        <f t="shared" si="12"/>
        <v>14</v>
      </c>
      <c r="M217">
        <v>14</v>
      </c>
      <c r="N217">
        <v>14</v>
      </c>
    </row>
    <row r="218" spans="11:14" x14ac:dyDescent="0.25">
      <c r="K218">
        <v>678</v>
      </c>
      <c r="L218">
        <f t="shared" si="12"/>
        <v>15</v>
      </c>
      <c r="M218">
        <v>15</v>
      </c>
      <c r="N218">
        <v>17</v>
      </c>
    </row>
    <row r="219" spans="11:14" x14ac:dyDescent="0.25">
      <c r="K219">
        <v>681</v>
      </c>
      <c r="L219">
        <f t="shared" ref="L219:L237" si="13">VLOOKUP(K219,$D$2:$F$119,3,FALSE)</f>
        <v>24</v>
      </c>
      <c r="M219">
        <v>25</v>
      </c>
      <c r="N219">
        <v>25</v>
      </c>
    </row>
    <row r="220" spans="11:14" x14ac:dyDescent="0.25">
      <c r="K220">
        <v>684</v>
      </c>
      <c r="L220">
        <f t="shared" si="13"/>
        <v>30</v>
      </c>
      <c r="M220">
        <v>31</v>
      </c>
      <c r="N220">
        <v>31</v>
      </c>
    </row>
    <row r="221" spans="11:14" x14ac:dyDescent="0.25">
      <c r="K221">
        <v>689</v>
      </c>
      <c r="L221">
        <f t="shared" si="13"/>
        <v>25</v>
      </c>
      <c r="M221">
        <v>19</v>
      </c>
      <c r="N221">
        <v>24</v>
      </c>
    </row>
    <row r="222" spans="11:14" x14ac:dyDescent="0.25">
      <c r="K222">
        <v>693</v>
      </c>
      <c r="L222">
        <f t="shared" si="13"/>
        <v>24</v>
      </c>
      <c r="M222">
        <v>24</v>
      </c>
      <c r="N222">
        <v>24</v>
      </c>
    </row>
    <row r="223" spans="11:14" x14ac:dyDescent="0.25">
      <c r="K223">
        <v>696</v>
      </c>
      <c r="L223">
        <f t="shared" si="13"/>
        <v>20</v>
      </c>
      <c r="M223">
        <v>20</v>
      </c>
      <c r="N223">
        <v>19</v>
      </c>
    </row>
    <row r="224" spans="11:14" x14ac:dyDescent="0.25">
      <c r="K224">
        <v>699</v>
      </c>
      <c r="L224">
        <f t="shared" si="13"/>
        <v>13</v>
      </c>
      <c r="M224">
        <v>12</v>
      </c>
      <c r="N224">
        <v>16</v>
      </c>
    </row>
    <row r="225" spans="11:14" x14ac:dyDescent="0.25">
      <c r="K225">
        <v>702</v>
      </c>
      <c r="L225">
        <f t="shared" si="13"/>
        <v>8</v>
      </c>
      <c r="M225">
        <v>4</v>
      </c>
      <c r="N225">
        <v>6</v>
      </c>
    </row>
    <row r="226" spans="11:14" x14ac:dyDescent="0.25">
      <c r="K226">
        <v>705</v>
      </c>
      <c r="L226">
        <f t="shared" si="13"/>
        <v>15</v>
      </c>
      <c r="M226">
        <v>16</v>
      </c>
      <c r="N226">
        <v>18</v>
      </c>
    </row>
    <row r="227" spans="11:14" x14ac:dyDescent="0.25">
      <c r="K227">
        <v>709</v>
      </c>
      <c r="L227">
        <f t="shared" si="13"/>
        <v>19</v>
      </c>
      <c r="M227">
        <v>18</v>
      </c>
      <c r="N227">
        <v>22</v>
      </c>
    </row>
    <row r="228" spans="11:14" x14ac:dyDescent="0.25">
      <c r="K228">
        <v>712</v>
      </c>
      <c r="L228">
        <f t="shared" si="13"/>
        <v>4</v>
      </c>
      <c r="M228">
        <v>2</v>
      </c>
      <c r="N228">
        <v>3</v>
      </c>
    </row>
    <row r="229" spans="11:14" x14ac:dyDescent="0.25">
      <c r="K229">
        <v>716</v>
      </c>
      <c r="L229">
        <f t="shared" si="13"/>
        <v>21</v>
      </c>
      <c r="M229">
        <v>15</v>
      </c>
      <c r="N229">
        <v>22</v>
      </c>
    </row>
    <row r="230" spans="11:14" x14ac:dyDescent="0.25">
      <c r="K230">
        <v>718</v>
      </c>
      <c r="L230">
        <f t="shared" si="13"/>
        <v>21</v>
      </c>
      <c r="M230">
        <v>23</v>
      </c>
      <c r="N230">
        <v>24</v>
      </c>
    </row>
    <row r="231" spans="11:14" x14ac:dyDescent="0.25">
      <c r="K231">
        <v>721</v>
      </c>
      <c r="L231">
        <f t="shared" si="13"/>
        <v>19</v>
      </c>
      <c r="M231">
        <v>16</v>
      </c>
      <c r="N231">
        <v>18</v>
      </c>
    </row>
    <row r="232" spans="11:14" x14ac:dyDescent="0.25">
      <c r="K232">
        <v>723</v>
      </c>
      <c r="L232">
        <f t="shared" si="13"/>
        <v>19</v>
      </c>
      <c r="M232">
        <v>26</v>
      </c>
      <c r="N232">
        <v>27</v>
      </c>
    </row>
    <row r="233" spans="11:14" x14ac:dyDescent="0.25">
      <c r="K233">
        <v>725</v>
      </c>
      <c r="L233">
        <f t="shared" si="13"/>
        <v>13</v>
      </c>
      <c r="M233">
        <v>18</v>
      </c>
      <c r="N233">
        <v>18</v>
      </c>
    </row>
    <row r="234" spans="11:14" x14ac:dyDescent="0.25">
      <c r="K234">
        <v>728</v>
      </c>
      <c r="L234">
        <f t="shared" si="13"/>
        <v>23</v>
      </c>
      <c r="M234">
        <v>18</v>
      </c>
      <c r="N234">
        <v>23</v>
      </c>
    </row>
    <row r="235" spans="11:14" x14ac:dyDescent="0.25">
      <c r="K235">
        <v>731</v>
      </c>
      <c r="L235">
        <f t="shared" si="13"/>
        <v>7</v>
      </c>
      <c r="M235">
        <v>6</v>
      </c>
      <c r="N235">
        <v>10</v>
      </c>
    </row>
    <row r="236" spans="11:14" x14ac:dyDescent="0.25">
      <c r="K236">
        <v>734</v>
      </c>
      <c r="L236">
        <f t="shared" si="13"/>
        <v>7</v>
      </c>
      <c r="M236">
        <v>7</v>
      </c>
      <c r="N236">
        <v>8</v>
      </c>
    </row>
    <row r="237" spans="11:14" x14ac:dyDescent="0.25">
      <c r="K237">
        <v>738</v>
      </c>
      <c r="L237">
        <f t="shared" si="13"/>
        <v>12</v>
      </c>
      <c r="M237">
        <v>11</v>
      </c>
      <c r="N237">
        <v>10</v>
      </c>
    </row>
  </sheetData>
  <autoFilter ref="L3:S118" xr:uid="{FBA55525-5725-432D-8CC7-0A0B7E5373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Sheet1</vt:lpstr>
      <vt:lpstr>pelicano adulto</vt:lpstr>
      <vt:lpstr>Hoja3</vt:lpstr>
      <vt:lpstr>piquero adulto</vt:lpstr>
      <vt:lpstr>zarcillos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Israel Tovar Moscol</cp:lastModifiedBy>
  <dcterms:created xsi:type="dcterms:W3CDTF">2026-08-03T22:57:36Z</dcterms:created>
  <dcterms:modified xsi:type="dcterms:W3CDTF">2026-08-18T21:58:42Z</dcterms:modified>
</cp:coreProperties>
</file>