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zo\Desktop\Estadística\Trabajos (laborales)\BMAP\Proyectos\conteo-aves-bmap\Estimacion_error\datos_aves_marinas\2025\abril\RLOF\"/>
    </mc:Choice>
  </mc:AlternateContent>
  <xr:revisionPtr revIDLastSave="0" documentId="13_ncr:1_{6C8BE49E-08FC-4C3D-90F7-CC8EB122DF5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Hoja1" sheetId="2" r:id="rId2"/>
    <sheet name="Hoja2" sheetId="3" r:id="rId3"/>
  </sheets>
  <definedNames>
    <definedName name="_xlnm._FilterDatabase" localSheetId="1" hidden="1">Hoja1!$J$32:$N$48</definedName>
    <definedName name="_xlnm._FilterDatabase" localSheetId="0" hidden="1">Sheet1!$A$1:$C$53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2" l="1"/>
  <c r="G34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50" i="2"/>
  <c r="N51" i="2"/>
  <c r="N52" i="2"/>
  <c r="N53" i="2"/>
  <c r="N54" i="2"/>
  <c r="N55" i="2"/>
  <c r="N56" i="2"/>
  <c r="N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50" i="2"/>
  <c r="M51" i="2"/>
  <c r="M52" i="2"/>
  <c r="M53" i="2"/>
  <c r="M54" i="2"/>
  <c r="M55" i="2"/>
  <c r="M56" i="2"/>
  <c r="M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50" i="2"/>
  <c r="L51" i="2"/>
  <c r="L52" i="2"/>
  <c r="L53" i="2"/>
  <c r="L54" i="2"/>
  <c r="L55" i="2"/>
  <c r="L56" i="2"/>
  <c r="L33" i="2"/>
  <c r="G8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20" i="2"/>
  <c r="P21" i="2"/>
  <c r="P22" i="2"/>
  <c r="P23" i="2"/>
  <c r="P24" i="2"/>
  <c r="P25" i="2"/>
  <c r="P26" i="2"/>
  <c r="P3" i="2"/>
  <c r="G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0" i="2"/>
  <c r="O21" i="2"/>
  <c r="O22" i="2"/>
  <c r="O23" i="2"/>
  <c r="O24" i="2"/>
  <c r="O25" i="2"/>
  <c r="O26" i="2"/>
  <c r="O3" i="2"/>
  <c r="G6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0" i="2"/>
  <c r="N21" i="2"/>
  <c r="N22" i="2"/>
  <c r="N23" i="2"/>
  <c r="N24" i="2"/>
  <c r="N25" i="2"/>
  <c r="N26" i="2"/>
  <c r="N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20" i="2"/>
  <c r="M21" i="2"/>
  <c r="M22" i="2"/>
  <c r="M23" i="2"/>
  <c r="M24" i="2"/>
  <c r="M25" i="2"/>
  <c r="M26" i="2"/>
  <c r="M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20" i="2"/>
  <c r="L21" i="2"/>
  <c r="L22" i="2"/>
  <c r="L23" i="2"/>
  <c r="L24" i="2"/>
  <c r="L25" i="2"/>
  <c r="L26" i="2"/>
  <c r="L3" i="2"/>
</calcChain>
</file>

<file path=xl/sharedStrings.xml><?xml version="1.0" encoding="utf-8"?>
<sst xmlns="http://schemas.openxmlformats.org/spreadsheetml/2006/main" count="104" uniqueCount="22">
  <si>
    <t>FOTO</t>
  </si>
  <si>
    <t>Clase</t>
  </si>
  <si>
    <t>Real</t>
  </si>
  <si>
    <t>zarcillo</t>
  </si>
  <si>
    <t>pelicano juvenil</t>
  </si>
  <si>
    <t>pinguino adulto</t>
  </si>
  <si>
    <t>pinguino juvenil</t>
  </si>
  <si>
    <t>pelicano adulto</t>
  </si>
  <si>
    <t>cushuri adulto</t>
  </si>
  <si>
    <t>x_0.28</t>
  </si>
  <si>
    <t>a</t>
  </si>
  <si>
    <t>Error</t>
  </si>
  <si>
    <t>MAE</t>
  </si>
  <si>
    <t>abs(Error)</t>
  </si>
  <si>
    <t>Error^2</t>
  </si>
  <si>
    <t>RMSE</t>
  </si>
  <si>
    <t>sMAPE</t>
  </si>
  <si>
    <t>Smape</t>
  </si>
  <si>
    <t>Preferir un modelo que subestime</t>
  </si>
  <si>
    <t>sin sahi</t>
  </si>
  <si>
    <t>Con sahi</t>
  </si>
  <si>
    <t>x_0.46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</si>
</sst>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workbookViewId="0">
      <selection activeCell="B12" sqref="B12"/>
    </sheetView>
  </sheetViews>
  <sheetFormatPr baseColWidth="10" defaultColWidth="8.88671875" defaultRowHeight="14.4" x14ac:dyDescent="0.3"/>
  <cols>
    <col min="2" max="2" width="13.5546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>
        <v>47</v>
      </c>
    </row>
    <row r="3" spans="1:3" x14ac:dyDescent="0.3">
      <c r="A3">
        <v>1</v>
      </c>
      <c r="B3" t="s">
        <v>4</v>
      </c>
      <c r="C3">
        <v>2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3</v>
      </c>
      <c r="B5" t="s">
        <v>3</v>
      </c>
      <c r="C5">
        <v>45</v>
      </c>
    </row>
    <row r="6" spans="1:3" x14ac:dyDescent="0.3">
      <c r="A6">
        <v>5</v>
      </c>
      <c r="B6" t="s">
        <v>3</v>
      </c>
      <c r="C6">
        <v>17</v>
      </c>
    </row>
    <row r="7" spans="1:3" x14ac:dyDescent="0.3">
      <c r="A7">
        <v>8</v>
      </c>
      <c r="B7" t="s">
        <v>5</v>
      </c>
      <c r="C7">
        <v>5</v>
      </c>
    </row>
    <row r="8" spans="1:3" x14ac:dyDescent="0.3">
      <c r="A8">
        <v>8</v>
      </c>
      <c r="B8" t="s">
        <v>3</v>
      </c>
      <c r="C8">
        <v>6</v>
      </c>
    </row>
    <row r="9" spans="1:3" x14ac:dyDescent="0.3">
      <c r="A9">
        <v>109</v>
      </c>
      <c r="B9" t="s">
        <v>5</v>
      </c>
      <c r="C9">
        <v>3</v>
      </c>
    </row>
    <row r="10" spans="1:3" x14ac:dyDescent="0.3">
      <c r="A10">
        <v>109</v>
      </c>
      <c r="B10" t="s">
        <v>3</v>
      </c>
      <c r="C10">
        <v>8</v>
      </c>
    </row>
    <row r="11" spans="1:3" x14ac:dyDescent="0.3">
      <c r="A11">
        <v>110</v>
      </c>
      <c r="B11" t="s">
        <v>5</v>
      </c>
      <c r="C11">
        <v>3</v>
      </c>
    </row>
    <row r="12" spans="1:3" x14ac:dyDescent="0.3">
      <c r="A12">
        <v>110</v>
      </c>
      <c r="B12" t="s">
        <v>3</v>
      </c>
      <c r="C12">
        <v>53</v>
      </c>
    </row>
    <row r="13" spans="1:3" x14ac:dyDescent="0.3">
      <c r="A13">
        <v>113</v>
      </c>
      <c r="B13" t="s">
        <v>5</v>
      </c>
      <c r="C13">
        <v>1</v>
      </c>
    </row>
    <row r="14" spans="1:3" x14ac:dyDescent="0.3">
      <c r="A14">
        <v>113</v>
      </c>
      <c r="B14" t="s">
        <v>3</v>
      </c>
      <c r="C14">
        <v>33</v>
      </c>
    </row>
    <row r="15" spans="1:3" x14ac:dyDescent="0.3">
      <c r="A15">
        <v>118</v>
      </c>
      <c r="B15" t="s">
        <v>3</v>
      </c>
      <c r="C15">
        <v>28</v>
      </c>
    </row>
    <row r="16" spans="1:3" x14ac:dyDescent="0.3">
      <c r="A16">
        <v>119</v>
      </c>
      <c r="B16" t="s">
        <v>5</v>
      </c>
      <c r="C16">
        <v>6</v>
      </c>
    </row>
    <row r="17" spans="1:3" x14ac:dyDescent="0.3">
      <c r="A17">
        <v>119</v>
      </c>
      <c r="B17" t="s">
        <v>3</v>
      </c>
      <c r="C17">
        <v>106</v>
      </c>
    </row>
    <row r="18" spans="1:3" x14ac:dyDescent="0.3">
      <c r="A18">
        <v>124</v>
      </c>
      <c r="B18" t="s">
        <v>5</v>
      </c>
      <c r="C18">
        <v>3</v>
      </c>
    </row>
    <row r="19" spans="1:3" x14ac:dyDescent="0.3">
      <c r="A19">
        <v>124</v>
      </c>
      <c r="B19" t="s">
        <v>3</v>
      </c>
      <c r="C19">
        <v>44</v>
      </c>
    </row>
    <row r="20" spans="1:3" x14ac:dyDescent="0.3">
      <c r="A20">
        <v>127</v>
      </c>
      <c r="B20" t="s">
        <v>6</v>
      </c>
      <c r="C20">
        <v>1</v>
      </c>
    </row>
    <row r="21" spans="1:3" x14ac:dyDescent="0.3">
      <c r="A21">
        <v>127</v>
      </c>
      <c r="B21" t="s">
        <v>3</v>
      </c>
      <c r="C21">
        <v>9</v>
      </c>
    </row>
    <row r="22" spans="1:3" x14ac:dyDescent="0.3">
      <c r="A22">
        <v>949</v>
      </c>
      <c r="B22" t="s">
        <v>5</v>
      </c>
      <c r="C22">
        <v>2</v>
      </c>
    </row>
    <row r="23" spans="1:3" x14ac:dyDescent="0.3">
      <c r="A23">
        <v>949</v>
      </c>
      <c r="B23" t="s">
        <v>3</v>
      </c>
      <c r="C23">
        <v>9</v>
      </c>
    </row>
    <row r="24" spans="1:3" x14ac:dyDescent="0.3">
      <c r="A24">
        <v>955</v>
      </c>
      <c r="B24" t="s">
        <v>3</v>
      </c>
      <c r="C24">
        <v>59</v>
      </c>
    </row>
    <row r="25" spans="1:3" x14ac:dyDescent="0.3">
      <c r="A25">
        <v>957</v>
      </c>
      <c r="B25" t="s">
        <v>5</v>
      </c>
      <c r="C25">
        <v>2</v>
      </c>
    </row>
    <row r="26" spans="1:3" x14ac:dyDescent="0.3">
      <c r="A26">
        <v>957</v>
      </c>
      <c r="B26" t="s">
        <v>6</v>
      </c>
      <c r="C26">
        <v>1</v>
      </c>
    </row>
    <row r="27" spans="1:3" x14ac:dyDescent="0.3">
      <c r="A27">
        <v>957</v>
      </c>
      <c r="B27" t="s">
        <v>3</v>
      </c>
      <c r="C27">
        <v>49</v>
      </c>
    </row>
    <row r="28" spans="1:3" x14ac:dyDescent="0.3">
      <c r="A28">
        <v>960</v>
      </c>
      <c r="B28" t="s">
        <v>5</v>
      </c>
      <c r="C28">
        <v>2</v>
      </c>
    </row>
    <row r="29" spans="1:3" x14ac:dyDescent="0.3">
      <c r="A29">
        <v>960</v>
      </c>
      <c r="B29" t="s">
        <v>6</v>
      </c>
      <c r="C29">
        <v>2</v>
      </c>
    </row>
    <row r="30" spans="1:3" x14ac:dyDescent="0.3">
      <c r="A30">
        <v>960</v>
      </c>
      <c r="B30" t="s">
        <v>3</v>
      </c>
      <c r="C30">
        <v>30</v>
      </c>
    </row>
    <row r="31" spans="1:3" x14ac:dyDescent="0.3">
      <c r="A31">
        <v>960</v>
      </c>
      <c r="B31" t="s">
        <v>7</v>
      </c>
      <c r="C31">
        <v>2</v>
      </c>
    </row>
    <row r="32" spans="1:3" x14ac:dyDescent="0.3">
      <c r="A32">
        <v>960</v>
      </c>
      <c r="B32" t="s">
        <v>4</v>
      </c>
      <c r="C32">
        <v>6</v>
      </c>
    </row>
    <row r="33" spans="1:3" x14ac:dyDescent="0.3">
      <c r="A33">
        <v>964</v>
      </c>
      <c r="B33" t="s">
        <v>5</v>
      </c>
      <c r="C33">
        <v>3</v>
      </c>
    </row>
    <row r="34" spans="1:3" x14ac:dyDescent="0.3">
      <c r="A34">
        <v>964</v>
      </c>
      <c r="B34" t="s">
        <v>6</v>
      </c>
      <c r="C34">
        <v>20</v>
      </c>
    </row>
    <row r="35" spans="1:3" x14ac:dyDescent="0.3">
      <c r="A35">
        <v>964</v>
      </c>
      <c r="B35" t="s">
        <v>3</v>
      </c>
      <c r="C35">
        <v>25</v>
      </c>
    </row>
    <row r="36" spans="1:3" x14ac:dyDescent="0.3">
      <c r="A36">
        <v>964</v>
      </c>
      <c r="B36" t="s">
        <v>4</v>
      </c>
      <c r="C36">
        <v>2</v>
      </c>
    </row>
    <row r="37" spans="1:3" x14ac:dyDescent="0.3">
      <c r="A37">
        <v>968</v>
      </c>
      <c r="B37" t="s">
        <v>5</v>
      </c>
      <c r="C37">
        <v>5</v>
      </c>
    </row>
    <row r="38" spans="1:3" x14ac:dyDescent="0.3">
      <c r="A38">
        <v>968</v>
      </c>
      <c r="B38" t="s">
        <v>6</v>
      </c>
      <c r="C38">
        <v>3</v>
      </c>
    </row>
    <row r="39" spans="1:3" x14ac:dyDescent="0.3">
      <c r="A39">
        <v>981</v>
      </c>
      <c r="B39" t="s">
        <v>5</v>
      </c>
      <c r="C39">
        <v>3</v>
      </c>
    </row>
    <row r="40" spans="1:3" x14ac:dyDescent="0.3">
      <c r="A40">
        <v>981</v>
      </c>
      <c r="B40" t="s">
        <v>6</v>
      </c>
      <c r="C40">
        <v>1</v>
      </c>
    </row>
    <row r="41" spans="1:3" x14ac:dyDescent="0.3">
      <c r="A41">
        <v>981</v>
      </c>
      <c r="B41" t="s">
        <v>3</v>
      </c>
      <c r="C41">
        <v>28</v>
      </c>
    </row>
    <row r="42" spans="1:3" x14ac:dyDescent="0.3">
      <c r="A42">
        <v>981</v>
      </c>
      <c r="B42" t="s">
        <v>8</v>
      </c>
      <c r="C42">
        <v>1</v>
      </c>
    </row>
    <row r="43" spans="1:3" x14ac:dyDescent="0.3">
      <c r="A43">
        <v>985</v>
      </c>
      <c r="B43" t="s">
        <v>5</v>
      </c>
      <c r="C43">
        <v>1</v>
      </c>
    </row>
    <row r="44" spans="1:3" x14ac:dyDescent="0.3">
      <c r="A44">
        <v>985</v>
      </c>
      <c r="B44" t="s">
        <v>6</v>
      </c>
      <c r="C44">
        <v>9</v>
      </c>
    </row>
    <row r="45" spans="1:3" x14ac:dyDescent="0.3">
      <c r="A45">
        <v>985</v>
      </c>
      <c r="B45" t="s">
        <v>3</v>
      </c>
      <c r="C45">
        <v>31</v>
      </c>
    </row>
    <row r="46" spans="1:3" x14ac:dyDescent="0.3">
      <c r="A46">
        <v>988</v>
      </c>
      <c r="B46" t="s">
        <v>3</v>
      </c>
      <c r="C46">
        <v>60</v>
      </c>
    </row>
    <row r="47" spans="1:3" x14ac:dyDescent="0.3">
      <c r="A47">
        <v>988</v>
      </c>
      <c r="B47" t="s">
        <v>4</v>
      </c>
      <c r="C47">
        <v>1</v>
      </c>
    </row>
    <row r="48" spans="1:3" x14ac:dyDescent="0.3">
      <c r="A48">
        <v>992</v>
      </c>
      <c r="B48" t="s">
        <v>5</v>
      </c>
      <c r="C48">
        <v>3</v>
      </c>
    </row>
    <row r="49" spans="1:3" x14ac:dyDescent="0.3">
      <c r="A49">
        <v>992</v>
      </c>
      <c r="B49" t="s">
        <v>3</v>
      </c>
      <c r="C49">
        <v>42</v>
      </c>
    </row>
    <row r="50" spans="1:3" x14ac:dyDescent="0.3">
      <c r="A50">
        <v>992</v>
      </c>
      <c r="B50" t="s">
        <v>4</v>
      </c>
      <c r="C50">
        <v>2</v>
      </c>
    </row>
    <row r="51" spans="1:3" x14ac:dyDescent="0.3">
      <c r="A51">
        <v>994</v>
      </c>
      <c r="B51" t="s">
        <v>3</v>
      </c>
      <c r="C51">
        <v>39</v>
      </c>
    </row>
    <row r="52" spans="1:3" x14ac:dyDescent="0.3">
      <c r="A52">
        <v>996</v>
      </c>
      <c r="B52" t="s">
        <v>3</v>
      </c>
      <c r="C52">
        <v>18</v>
      </c>
    </row>
    <row r="53" spans="1:3" x14ac:dyDescent="0.3">
      <c r="A53">
        <v>998</v>
      </c>
      <c r="B53" t="s">
        <v>3</v>
      </c>
      <c r="C53">
        <v>10</v>
      </c>
    </row>
  </sheetData>
  <autoFilter ref="A1:C5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BD49-1E9A-4DE6-B03B-5A85FC83F886}">
  <dimension ref="A1:P56"/>
  <sheetViews>
    <sheetView tabSelected="1" topLeftCell="A31" zoomScale="85" zoomScaleNormal="85" workbookViewId="0">
      <selection activeCell="F54" sqref="F54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I1" t="s">
        <v>19</v>
      </c>
    </row>
    <row r="2" spans="1:16" x14ac:dyDescent="0.3">
      <c r="A2">
        <v>1</v>
      </c>
      <c r="B2" t="s">
        <v>3</v>
      </c>
      <c r="C2">
        <v>47</v>
      </c>
      <c r="J2" t="s">
        <v>0</v>
      </c>
      <c r="K2" t="s">
        <v>9</v>
      </c>
      <c r="L2" t="s">
        <v>2</v>
      </c>
      <c r="M2" t="s">
        <v>11</v>
      </c>
      <c r="N2" t="s">
        <v>13</v>
      </c>
      <c r="O2" t="s">
        <v>14</v>
      </c>
      <c r="P2" t="s">
        <v>16</v>
      </c>
    </row>
    <row r="3" spans="1:16" x14ac:dyDescent="0.3">
      <c r="A3">
        <v>3</v>
      </c>
      <c r="B3" t="s">
        <v>3</v>
      </c>
      <c r="C3">
        <v>45</v>
      </c>
      <c r="J3">
        <v>1</v>
      </c>
      <c r="K3">
        <v>44</v>
      </c>
      <c r="L3">
        <f>VLOOKUP(J3,$A$1:$C$24,3,0)</f>
        <v>47</v>
      </c>
      <c r="M3">
        <f>(L3-K3)</f>
        <v>3</v>
      </c>
      <c r="N3">
        <f>ABS(M3)</f>
        <v>3</v>
      </c>
      <c r="O3">
        <f>N3^2</f>
        <v>9</v>
      </c>
      <c r="P3">
        <f>2*N3/(L3+K3)</f>
        <v>6.5934065934065936E-2</v>
      </c>
    </row>
    <row r="4" spans="1:16" x14ac:dyDescent="0.3">
      <c r="A4">
        <v>5</v>
      </c>
      <c r="B4" t="s">
        <v>3</v>
      </c>
      <c r="C4">
        <v>17</v>
      </c>
      <c r="J4">
        <v>109</v>
      </c>
      <c r="K4">
        <v>3</v>
      </c>
      <c r="L4">
        <f t="shared" ref="L4:L26" si="0">VLOOKUP(J4,$A$1:$C$24,3,0)</f>
        <v>8</v>
      </c>
      <c r="M4">
        <f t="shared" ref="M4:M26" si="1">(L4-K4)</f>
        <v>5</v>
      </c>
      <c r="N4">
        <f t="shared" ref="N4:N26" si="2">ABS(M4)</f>
        <v>5</v>
      </c>
      <c r="O4">
        <f t="shared" ref="O4:O26" si="3">N4^2</f>
        <v>25</v>
      </c>
      <c r="P4">
        <f t="shared" ref="P4:P26" si="4">2*N4/(L4+K4)</f>
        <v>0.90909090909090906</v>
      </c>
    </row>
    <row r="5" spans="1:16" x14ac:dyDescent="0.3">
      <c r="A5">
        <v>8</v>
      </c>
      <c r="B5" t="s">
        <v>3</v>
      </c>
      <c r="C5">
        <v>6</v>
      </c>
      <c r="J5">
        <v>110</v>
      </c>
      <c r="K5">
        <v>52</v>
      </c>
      <c r="L5">
        <f t="shared" si="0"/>
        <v>53</v>
      </c>
      <c r="M5">
        <f t="shared" si="1"/>
        <v>1</v>
      </c>
      <c r="N5">
        <f t="shared" si="2"/>
        <v>1</v>
      </c>
      <c r="O5">
        <f t="shared" si="3"/>
        <v>1</v>
      </c>
      <c r="P5">
        <f t="shared" si="4"/>
        <v>1.9047619047619049E-2</v>
      </c>
    </row>
    <row r="6" spans="1:16" x14ac:dyDescent="0.3">
      <c r="A6">
        <v>109</v>
      </c>
      <c r="B6" t="s">
        <v>3</v>
      </c>
      <c r="C6">
        <v>8</v>
      </c>
      <c r="F6" t="s">
        <v>12</v>
      </c>
      <c r="G6">
        <f>AVERAGE(N3:N26)</f>
        <v>2.6086956521739131</v>
      </c>
      <c r="J6">
        <v>113</v>
      </c>
      <c r="K6">
        <v>31</v>
      </c>
      <c r="L6">
        <f t="shared" si="0"/>
        <v>33</v>
      </c>
      <c r="M6">
        <f t="shared" si="1"/>
        <v>2</v>
      </c>
      <c r="N6">
        <f t="shared" si="2"/>
        <v>2</v>
      </c>
      <c r="O6">
        <f t="shared" si="3"/>
        <v>4</v>
      </c>
      <c r="P6">
        <f t="shared" si="4"/>
        <v>6.25E-2</v>
      </c>
    </row>
    <row r="7" spans="1:16" x14ac:dyDescent="0.3">
      <c r="A7">
        <v>110</v>
      </c>
      <c r="B7" t="s">
        <v>3</v>
      </c>
      <c r="C7">
        <v>53</v>
      </c>
      <c r="F7" t="s">
        <v>15</v>
      </c>
      <c r="G7">
        <f>SQRT(AVERAGE(O3:O26))</f>
        <v>3.4135280741548732</v>
      </c>
      <c r="J7">
        <v>118</v>
      </c>
      <c r="K7">
        <v>29</v>
      </c>
      <c r="L7">
        <f t="shared" si="0"/>
        <v>28</v>
      </c>
      <c r="M7">
        <f t="shared" si="1"/>
        <v>-1</v>
      </c>
      <c r="N7">
        <f t="shared" si="2"/>
        <v>1</v>
      </c>
      <c r="O7">
        <f t="shared" si="3"/>
        <v>1</v>
      </c>
      <c r="P7">
        <f t="shared" si="4"/>
        <v>3.5087719298245612E-2</v>
      </c>
    </row>
    <row r="8" spans="1:16" x14ac:dyDescent="0.3">
      <c r="A8">
        <v>113</v>
      </c>
      <c r="B8" t="s">
        <v>3</v>
      </c>
      <c r="C8">
        <v>33</v>
      </c>
      <c r="F8" t="s">
        <v>17</v>
      </c>
      <c r="G8" s="2">
        <f>AVERAGE(P3:P26)</f>
        <v>0.13364999848823661</v>
      </c>
      <c r="J8">
        <v>119</v>
      </c>
      <c r="K8">
        <v>104</v>
      </c>
      <c r="L8">
        <f t="shared" si="0"/>
        <v>106</v>
      </c>
      <c r="M8">
        <f t="shared" si="1"/>
        <v>2</v>
      </c>
      <c r="N8">
        <f t="shared" si="2"/>
        <v>2</v>
      </c>
      <c r="O8">
        <f t="shared" si="3"/>
        <v>4</v>
      </c>
      <c r="P8">
        <f t="shared" si="4"/>
        <v>1.9047619047619049E-2</v>
      </c>
    </row>
    <row r="9" spans="1:16" x14ac:dyDescent="0.3">
      <c r="A9">
        <v>118</v>
      </c>
      <c r="B9" t="s">
        <v>3</v>
      </c>
      <c r="C9">
        <v>28</v>
      </c>
      <c r="J9">
        <v>124</v>
      </c>
      <c r="K9">
        <v>43</v>
      </c>
      <c r="L9">
        <f t="shared" si="0"/>
        <v>44</v>
      </c>
      <c r="M9">
        <f t="shared" si="1"/>
        <v>1</v>
      </c>
      <c r="N9">
        <f t="shared" si="2"/>
        <v>1</v>
      </c>
      <c r="O9">
        <f t="shared" si="3"/>
        <v>1</v>
      </c>
      <c r="P9">
        <f t="shared" si="4"/>
        <v>2.2988505747126436E-2</v>
      </c>
    </row>
    <row r="10" spans="1:16" x14ac:dyDescent="0.3">
      <c r="A10">
        <v>119</v>
      </c>
      <c r="B10" t="s">
        <v>3</v>
      </c>
      <c r="C10">
        <v>106</v>
      </c>
      <c r="J10">
        <v>127</v>
      </c>
      <c r="K10">
        <v>12</v>
      </c>
      <c r="L10">
        <f t="shared" si="0"/>
        <v>9</v>
      </c>
      <c r="M10">
        <f t="shared" si="1"/>
        <v>-3</v>
      </c>
      <c r="N10">
        <f t="shared" si="2"/>
        <v>3</v>
      </c>
      <c r="O10">
        <f t="shared" si="3"/>
        <v>9</v>
      </c>
      <c r="P10">
        <f t="shared" si="4"/>
        <v>0.2857142857142857</v>
      </c>
    </row>
    <row r="11" spans="1:16" x14ac:dyDescent="0.3">
      <c r="A11">
        <v>124</v>
      </c>
      <c r="B11" t="s">
        <v>3</v>
      </c>
      <c r="C11">
        <v>44</v>
      </c>
      <c r="J11">
        <v>3</v>
      </c>
      <c r="K11">
        <v>45</v>
      </c>
      <c r="L11">
        <f t="shared" si="0"/>
        <v>45</v>
      </c>
      <c r="M11">
        <f t="shared" si="1"/>
        <v>0</v>
      </c>
      <c r="N11">
        <f t="shared" si="2"/>
        <v>0</v>
      </c>
      <c r="O11">
        <f t="shared" si="3"/>
        <v>0</v>
      </c>
      <c r="P11">
        <f t="shared" si="4"/>
        <v>0</v>
      </c>
    </row>
    <row r="12" spans="1:16" x14ac:dyDescent="0.3">
      <c r="A12">
        <v>127</v>
      </c>
      <c r="B12" t="s">
        <v>3</v>
      </c>
      <c r="C12">
        <v>9</v>
      </c>
      <c r="J12">
        <v>5</v>
      </c>
      <c r="K12">
        <v>16</v>
      </c>
      <c r="L12">
        <f t="shared" si="0"/>
        <v>17</v>
      </c>
      <c r="M12">
        <f t="shared" si="1"/>
        <v>1</v>
      </c>
      <c r="N12">
        <f t="shared" si="2"/>
        <v>1</v>
      </c>
      <c r="O12">
        <f t="shared" si="3"/>
        <v>1</v>
      </c>
      <c r="P12">
        <f t="shared" si="4"/>
        <v>6.0606060606060608E-2</v>
      </c>
    </row>
    <row r="13" spans="1:16" x14ac:dyDescent="0.3">
      <c r="A13">
        <v>949</v>
      </c>
      <c r="B13" t="s">
        <v>3</v>
      </c>
      <c r="C13">
        <v>9</v>
      </c>
      <c r="J13">
        <v>8</v>
      </c>
      <c r="K13">
        <v>8</v>
      </c>
      <c r="L13">
        <f t="shared" si="0"/>
        <v>6</v>
      </c>
      <c r="M13">
        <f t="shared" si="1"/>
        <v>-2</v>
      </c>
      <c r="N13">
        <f t="shared" si="2"/>
        <v>2</v>
      </c>
      <c r="O13">
        <f t="shared" si="3"/>
        <v>4</v>
      </c>
      <c r="P13">
        <f t="shared" si="4"/>
        <v>0.2857142857142857</v>
      </c>
    </row>
    <row r="14" spans="1:16" x14ac:dyDescent="0.3">
      <c r="A14">
        <v>955</v>
      </c>
      <c r="B14" t="s">
        <v>3</v>
      </c>
      <c r="C14">
        <v>59</v>
      </c>
      <c r="J14">
        <v>949</v>
      </c>
      <c r="K14">
        <v>6</v>
      </c>
      <c r="L14">
        <f t="shared" si="0"/>
        <v>9</v>
      </c>
      <c r="M14">
        <f t="shared" si="1"/>
        <v>3</v>
      </c>
      <c r="N14">
        <f t="shared" si="2"/>
        <v>3</v>
      </c>
      <c r="O14">
        <f t="shared" si="3"/>
        <v>9</v>
      </c>
      <c r="P14">
        <f t="shared" si="4"/>
        <v>0.4</v>
      </c>
    </row>
    <row r="15" spans="1:16" x14ac:dyDescent="0.3">
      <c r="A15">
        <v>957</v>
      </c>
      <c r="B15" t="s">
        <v>3</v>
      </c>
      <c r="C15">
        <v>49</v>
      </c>
      <c r="J15">
        <v>955</v>
      </c>
      <c r="K15">
        <v>66</v>
      </c>
      <c r="L15">
        <f t="shared" si="0"/>
        <v>59</v>
      </c>
      <c r="M15">
        <f t="shared" si="1"/>
        <v>-7</v>
      </c>
      <c r="N15">
        <f t="shared" si="2"/>
        <v>7</v>
      </c>
      <c r="O15">
        <f t="shared" si="3"/>
        <v>49</v>
      </c>
      <c r="P15">
        <f t="shared" si="4"/>
        <v>0.112</v>
      </c>
    </row>
    <row r="16" spans="1:16" x14ac:dyDescent="0.3">
      <c r="A16">
        <v>960</v>
      </c>
      <c r="B16" t="s">
        <v>3</v>
      </c>
      <c r="C16">
        <v>30</v>
      </c>
      <c r="J16">
        <v>957</v>
      </c>
      <c r="K16">
        <v>59</v>
      </c>
      <c r="L16">
        <f t="shared" si="0"/>
        <v>49</v>
      </c>
      <c r="M16">
        <f t="shared" si="1"/>
        <v>-10</v>
      </c>
      <c r="N16">
        <f t="shared" si="2"/>
        <v>10</v>
      </c>
      <c r="O16">
        <f t="shared" si="3"/>
        <v>100</v>
      </c>
      <c r="P16">
        <f t="shared" si="4"/>
        <v>0.18518518518518517</v>
      </c>
    </row>
    <row r="17" spans="1:16" x14ac:dyDescent="0.3">
      <c r="A17">
        <v>964</v>
      </c>
      <c r="B17" t="s">
        <v>3</v>
      </c>
      <c r="C17">
        <v>25</v>
      </c>
      <c r="J17">
        <v>960</v>
      </c>
      <c r="K17">
        <v>32</v>
      </c>
      <c r="L17">
        <f t="shared" si="0"/>
        <v>30</v>
      </c>
      <c r="M17">
        <f t="shared" si="1"/>
        <v>-2</v>
      </c>
      <c r="N17">
        <f t="shared" si="2"/>
        <v>2</v>
      </c>
      <c r="O17">
        <f t="shared" si="3"/>
        <v>4</v>
      </c>
      <c r="P17">
        <f t="shared" si="4"/>
        <v>6.4516129032258063E-2</v>
      </c>
    </row>
    <row r="18" spans="1:16" x14ac:dyDescent="0.3">
      <c r="A18">
        <v>981</v>
      </c>
      <c r="B18" t="s">
        <v>3</v>
      </c>
      <c r="C18">
        <v>28</v>
      </c>
      <c r="J18">
        <v>964</v>
      </c>
      <c r="K18">
        <v>27</v>
      </c>
      <c r="L18">
        <f t="shared" si="0"/>
        <v>25</v>
      </c>
      <c r="M18">
        <f t="shared" si="1"/>
        <v>-2</v>
      </c>
      <c r="N18">
        <f t="shared" si="2"/>
        <v>2</v>
      </c>
      <c r="O18">
        <f t="shared" si="3"/>
        <v>4</v>
      </c>
      <c r="P18">
        <f t="shared" si="4"/>
        <v>7.6923076923076927E-2</v>
      </c>
    </row>
    <row r="19" spans="1:16" x14ac:dyDescent="0.3">
      <c r="A19">
        <v>985</v>
      </c>
      <c r="B19" t="s">
        <v>3</v>
      </c>
      <c r="C19">
        <v>31</v>
      </c>
    </row>
    <row r="20" spans="1:16" x14ac:dyDescent="0.3">
      <c r="A20">
        <v>988</v>
      </c>
      <c r="B20" t="s">
        <v>3</v>
      </c>
      <c r="C20">
        <v>60</v>
      </c>
      <c r="J20">
        <v>981</v>
      </c>
      <c r="K20">
        <v>30</v>
      </c>
      <c r="L20">
        <f t="shared" si="0"/>
        <v>28</v>
      </c>
      <c r="M20">
        <f t="shared" si="1"/>
        <v>-2</v>
      </c>
      <c r="N20">
        <f t="shared" si="2"/>
        <v>2</v>
      </c>
      <c r="O20">
        <f t="shared" si="3"/>
        <v>4</v>
      </c>
      <c r="P20">
        <f t="shared" si="4"/>
        <v>6.8965517241379309E-2</v>
      </c>
    </row>
    <row r="21" spans="1:16" x14ac:dyDescent="0.3">
      <c r="A21">
        <v>992</v>
      </c>
      <c r="B21" t="s">
        <v>3</v>
      </c>
      <c r="C21">
        <v>42</v>
      </c>
      <c r="J21">
        <v>985</v>
      </c>
      <c r="K21">
        <v>28</v>
      </c>
      <c r="L21">
        <f t="shared" si="0"/>
        <v>31</v>
      </c>
      <c r="M21">
        <f t="shared" si="1"/>
        <v>3</v>
      </c>
      <c r="N21">
        <f t="shared" si="2"/>
        <v>3</v>
      </c>
      <c r="O21">
        <f t="shared" si="3"/>
        <v>9</v>
      </c>
      <c r="P21">
        <f t="shared" si="4"/>
        <v>0.10169491525423729</v>
      </c>
    </row>
    <row r="22" spans="1:16" x14ac:dyDescent="0.3">
      <c r="A22">
        <v>994</v>
      </c>
      <c r="B22" t="s">
        <v>3</v>
      </c>
      <c r="C22">
        <v>39</v>
      </c>
      <c r="J22">
        <v>988</v>
      </c>
      <c r="K22">
        <v>62</v>
      </c>
      <c r="L22">
        <f t="shared" si="0"/>
        <v>60</v>
      </c>
      <c r="M22">
        <f t="shared" si="1"/>
        <v>-2</v>
      </c>
      <c r="N22">
        <f t="shared" si="2"/>
        <v>2</v>
      </c>
      <c r="O22">
        <f t="shared" si="3"/>
        <v>4</v>
      </c>
      <c r="P22">
        <f t="shared" si="4"/>
        <v>3.2786885245901641E-2</v>
      </c>
    </row>
    <row r="23" spans="1:16" x14ac:dyDescent="0.3">
      <c r="A23">
        <v>996</v>
      </c>
      <c r="B23" t="s">
        <v>3</v>
      </c>
      <c r="C23">
        <v>18</v>
      </c>
      <c r="J23">
        <v>992</v>
      </c>
      <c r="K23">
        <v>46</v>
      </c>
      <c r="L23">
        <f t="shared" si="0"/>
        <v>42</v>
      </c>
      <c r="M23">
        <f t="shared" si="1"/>
        <v>-4</v>
      </c>
      <c r="N23">
        <f t="shared" si="2"/>
        <v>4</v>
      </c>
      <c r="O23">
        <f t="shared" si="3"/>
        <v>16</v>
      </c>
      <c r="P23">
        <f t="shared" si="4"/>
        <v>9.0909090909090912E-2</v>
      </c>
    </row>
    <row r="24" spans="1:16" x14ac:dyDescent="0.3">
      <c r="A24">
        <v>998</v>
      </c>
      <c r="B24" t="s">
        <v>3</v>
      </c>
      <c r="C24">
        <v>10</v>
      </c>
      <c r="J24">
        <v>994</v>
      </c>
      <c r="K24">
        <v>36</v>
      </c>
      <c r="L24">
        <f t="shared" si="0"/>
        <v>39</v>
      </c>
      <c r="M24">
        <f t="shared" si="1"/>
        <v>3</v>
      </c>
      <c r="N24">
        <f t="shared" si="2"/>
        <v>3</v>
      </c>
      <c r="O24">
        <f t="shared" si="3"/>
        <v>9</v>
      </c>
      <c r="P24">
        <f t="shared" si="4"/>
        <v>0.08</v>
      </c>
    </row>
    <row r="25" spans="1:16" x14ac:dyDescent="0.3">
      <c r="J25">
        <v>996</v>
      </c>
      <c r="K25">
        <v>18</v>
      </c>
      <c r="L25">
        <f t="shared" si="0"/>
        <v>18</v>
      </c>
      <c r="M25">
        <f t="shared" si="1"/>
        <v>0</v>
      </c>
      <c r="N25">
        <f t="shared" si="2"/>
        <v>0</v>
      </c>
      <c r="O25">
        <f t="shared" si="3"/>
        <v>0</v>
      </c>
      <c r="P25">
        <f t="shared" si="4"/>
        <v>0</v>
      </c>
    </row>
    <row r="26" spans="1:16" x14ac:dyDescent="0.3">
      <c r="J26">
        <v>998</v>
      </c>
      <c r="K26">
        <v>11</v>
      </c>
      <c r="L26">
        <f t="shared" si="0"/>
        <v>10</v>
      </c>
      <c r="M26">
        <f t="shared" si="1"/>
        <v>-1</v>
      </c>
      <c r="N26">
        <f t="shared" si="2"/>
        <v>1</v>
      </c>
      <c r="O26">
        <f t="shared" si="3"/>
        <v>1</v>
      </c>
      <c r="P26">
        <f t="shared" si="4"/>
        <v>9.5238095238095233E-2</v>
      </c>
    </row>
    <row r="28" spans="1:16" x14ac:dyDescent="0.3">
      <c r="A28" t="s">
        <v>18</v>
      </c>
    </row>
    <row r="31" spans="1:16" x14ac:dyDescent="0.3">
      <c r="J31" t="s">
        <v>20</v>
      </c>
    </row>
    <row r="32" spans="1:16" x14ac:dyDescent="0.3">
      <c r="J32" t="s">
        <v>0</v>
      </c>
      <c r="K32" t="s">
        <v>21</v>
      </c>
      <c r="L32" t="s">
        <v>2</v>
      </c>
      <c r="M32" t="s">
        <v>13</v>
      </c>
      <c r="N32" t="s">
        <v>17</v>
      </c>
    </row>
    <row r="33" spans="6:14" x14ac:dyDescent="0.3">
      <c r="J33">
        <v>1</v>
      </c>
      <c r="K33">
        <v>49</v>
      </c>
      <c r="L33">
        <f>VLOOKUP(J33,$A$1:$C$24,3,FALSE)</f>
        <v>47</v>
      </c>
      <c r="M33">
        <f>ABS(L33-K33)</f>
        <v>2</v>
      </c>
      <c r="N33">
        <f>2*(M33)/(K33+L33)</f>
        <v>4.1666666666666664E-2</v>
      </c>
    </row>
    <row r="34" spans="6:14" x14ac:dyDescent="0.3">
      <c r="F34" t="s">
        <v>12</v>
      </c>
      <c r="G34" s="3">
        <f>AVERAGE(M33:M56)</f>
        <v>2.4782608695652173</v>
      </c>
      <c r="J34">
        <v>109</v>
      </c>
      <c r="K34">
        <v>8</v>
      </c>
      <c r="L34">
        <f t="shared" ref="L34:L56" si="5">VLOOKUP(J34,$A$1:$C$24,3,FALSE)</f>
        <v>8</v>
      </c>
      <c r="M34">
        <f t="shared" ref="M34:M56" si="6">ABS(L34-K34)</f>
        <v>0</v>
      </c>
      <c r="N34">
        <f t="shared" ref="N34:N56" si="7">2*(M34)/(K34+L34)</f>
        <v>0</v>
      </c>
    </row>
    <row r="35" spans="6:14" x14ac:dyDescent="0.3">
      <c r="F35" t="s">
        <v>17</v>
      </c>
      <c r="G35" s="4">
        <f>AVERAGE(N33:N56)</f>
        <v>6.8368799877003922E-2</v>
      </c>
      <c r="J35">
        <v>110</v>
      </c>
      <c r="K35">
        <v>51</v>
      </c>
      <c r="L35">
        <f t="shared" si="5"/>
        <v>53</v>
      </c>
      <c r="M35">
        <f t="shared" si="6"/>
        <v>2</v>
      </c>
      <c r="N35">
        <f t="shared" si="7"/>
        <v>3.8461538461538464E-2</v>
      </c>
    </row>
    <row r="36" spans="6:14" x14ac:dyDescent="0.3">
      <c r="J36">
        <v>113</v>
      </c>
      <c r="K36">
        <v>31</v>
      </c>
      <c r="L36">
        <f t="shared" si="5"/>
        <v>33</v>
      </c>
      <c r="M36">
        <f t="shared" si="6"/>
        <v>2</v>
      </c>
      <c r="N36">
        <f t="shared" si="7"/>
        <v>6.25E-2</v>
      </c>
    </row>
    <row r="37" spans="6:14" x14ac:dyDescent="0.3">
      <c r="J37">
        <v>118</v>
      </c>
      <c r="K37">
        <v>33</v>
      </c>
      <c r="L37">
        <f t="shared" si="5"/>
        <v>28</v>
      </c>
      <c r="M37">
        <f t="shared" si="6"/>
        <v>5</v>
      </c>
      <c r="N37">
        <f t="shared" si="7"/>
        <v>0.16393442622950818</v>
      </c>
    </row>
    <row r="38" spans="6:14" x14ac:dyDescent="0.3">
      <c r="J38">
        <v>119</v>
      </c>
      <c r="K38">
        <v>101</v>
      </c>
      <c r="L38">
        <f t="shared" si="5"/>
        <v>106</v>
      </c>
      <c r="M38">
        <f t="shared" si="6"/>
        <v>5</v>
      </c>
      <c r="N38">
        <f t="shared" si="7"/>
        <v>4.8309178743961352E-2</v>
      </c>
    </row>
    <row r="39" spans="6:14" x14ac:dyDescent="0.3">
      <c r="J39">
        <v>124</v>
      </c>
      <c r="K39">
        <v>45</v>
      </c>
      <c r="L39">
        <f t="shared" si="5"/>
        <v>44</v>
      </c>
      <c r="M39">
        <f t="shared" si="6"/>
        <v>1</v>
      </c>
      <c r="N39">
        <f t="shared" si="7"/>
        <v>2.247191011235955E-2</v>
      </c>
    </row>
    <row r="40" spans="6:14" x14ac:dyDescent="0.3">
      <c r="J40">
        <v>127</v>
      </c>
      <c r="K40">
        <v>11</v>
      </c>
      <c r="L40">
        <f t="shared" si="5"/>
        <v>9</v>
      </c>
      <c r="M40">
        <f t="shared" si="6"/>
        <v>2</v>
      </c>
      <c r="N40">
        <f t="shared" si="7"/>
        <v>0.2</v>
      </c>
    </row>
    <row r="41" spans="6:14" x14ac:dyDescent="0.3">
      <c r="J41">
        <v>3</v>
      </c>
      <c r="K41">
        <v>44</v>
      </c>
      <c r="L41">
        <f t="shared" si="5"/>
        <v>45</v>
      </c>
      <c r="M41">
        <f t="shared" si="6"/>
        <v>1</v>
      </c>
      <c r="N41">
        <f t="shared" si="7"/>
        <v>2.247191011235955E-2</v>
      </c>
    </row>
    <row r="42" spans="6:14" x14ac:dyDescent="0.3">
      <c r="J42">
        <v>5</v>
      </c>
      <c r="K42">
        <v>15</v>
      </c>
      <c r="L42">
        <f t="shared" si="5"/>
        <v>17</v>
      </c>
      <c r="M42">
        <f t="shared" si="6"/>
        <v>2</v>
      </c>
      <c r="N42">
        <f t="shared" si="7"/>
        <v>0.125</v>
      </c>
    </row>
    <row r="43" spans="6:14" x14ac:dyDescent="0.3">
      <c r="J43">
        <v>8</v>
      </c>
      <c r="K43">
        <v>6</v>
      </c>
      <c r="L43">
        <f t="shared" si="5"/>
        <v>6</v>
      </c>
      <c r="M43">
        <f t="shared" si="6"/>
        <v>0</v>
      </c>
      <c r="N43">
        <f t="shared" si="7"/>
        <v>0</v>
      </c>
    </row>
    <row r="44" spans="6:14" x14ac:dyDescent="0.3">
      <c r="J44">
        <v>949</v>
      </c>
      <c r="K44">
        <v>10</v>
      </c>
      <c r="L44">
        <f t="shared" si="5"/>
        <v>9</v>
      </c>
      <c r="M44">
        <f t="shared" si="6"/>
        <v>1</v>
      </c>
      <c r="N44">
        <f t="shared" si="7"/>
        <v>0.10526315789473684</v>
      </c>
    </row>
    <row r="45" spans="6:14" x14ac:dyDescent="0.3">
      <c r="J45">
        <v>955</v>
      </c>
      <c r="K45">
        <v>53</v>
      </c>
      <c r="L45">
        <f t="shared" si="5"/>
        <v>59</v>
      </c>
      <c r="M45">
        <f t="shared" si="6"/>
        <v>6</v>
      </c>
      <c r="N45">
        <f t="shared" si="7"/>
        <v>0.10714285714285714</v>
      </c>
    </row>
    <row r="46" spans="6:14" x14ac:dyDescent="0.3">
      <c r="J46">
        <v>957</v>
      </c>
      <c r="K46">
        <v>65</v>
      </c>
      <c r="L46">
        <f t="shared" si="5"/>
        <v>49</v>
      </c>
      <c r="M46">
        <f t="shared" si="6"/>
        <v>16</v>
      </c>
      <c r="N46">
        <f t="shared" si="7"/>
        <v>0.2807017543859649</v>
      </c>
    </row>
    <row r="47" spans="6:14" x14ac:dyDescent="0.3">
      <c r="J47">
        <v>960</v>
      </c>
      <c r="K47">
        <v>32</v>
      </c>
      <c r="L47">
        <f t="shared" si="5"/>
        <v>30</v>
      </c>
      <c r="M47">
        <f t="shared" si="6"/>
        <v>2</v>
      </c>
      <c r="N47">
        <f t="shared" si="7"/>
        <v>6.4516129032258063E-2</v>
      </c>
    </row>
    <row r="48" spans="6:14" x14ac:dyDescent="0.3">
      <c r="J48">
        <v>964</v>
      </c>
      <c r="K48">
        <v>26</v>
      </c>
      <c r="L48">
        <f t="shared" si="5"/>
        <v>25</v>
      </c>
      <c r="M48">
        <f t="shared" si="6"/>
        <v>1</v>
      </c>
      <c r="N48">
        <f t="shared" si="7"/>
        <v>3.9215686274509803E-2</v>
      </c>
    </row>
    <row r="50" spans="10:14" x14ac:dyDescent="0.3">
      <c r="J50">
        <v>981</v>
      </c>
      <c r="K50">
        <v>28</v>
      </c>
      <c r="L50">
        <f t="shared" si="5"/>
        <v>28</v>
      </c>
      <c r="M50">
        <f t="shared" si="6"/>
        <v>0</v>
      </c>
      <c r="N50">
        <f t="shared" si="7"/>
        <v>0</v>
      </c>
    </row>
    <row r="51" spans="10:14" x14ac:dyDescent="0.3">
      <c r="J51">
        <v>985</v>
      </c>
      <c r="K51">
        <v>31</v>
      </c>
      <c r="L51">
        <f t="shared" si="5"/>
        <v>31</v>
      </c>
      <c r="M51">
        <f t="shared" si="6"/>
        <v>0</v>
      </c>
      <c r="N51">
        <f t="shared" si="7"/>
        <v>0</v>
      </c>
    </row>
    <row r="52" spans="10:14" x14ac:dyDescent="0.3">
      <c r="J52">
        <v>988</v>
      </c>
      <c r="K52">
        <v>57</v>
      </c>
      <c r="L52">
        <f t="shared" si="5"/>
        <v>60</v>
      </c>
      <c r="M52">
        <f t="shared" si="6"/>
        <v>3</v>
      </c>
      <c r="N52">
        <f t="shared" si="7"/>
        <v>5.128205128205128E-2</v>
      </c>
    </row>
    <row r="53" spans="10:14" x14ac:dyDescent="0.3">
      <c r="J53">
        <v>992</v>
      </c>
      <c r="K53">
        <v>45</v>
      </c>
      <c r="L53">
        <f t="shared" si="5"/>
        <v>42</v>
      </c>
      <c r="M53">
        <f t="shared" si="6"/>
        <v>3</v>
      </c>
      <c r="N53">
        <f t="shared" si="7"/>
        <v>6.8965517241379309E-2</v>
      </c>
    </row>
    <row r="54" spans="10:14" x14ac:dyDescent="0.3">
      <c r="J54">
        <v>994</v>
      </c>
      <c r="K54">
        <v>40</v>
      </c>
      <c r="L54">
        <f t="shared" si="5"/>
        <v>39</v>
      </c>
      <c r="M54">
        <f t="shared" si="6"/>
        <v>1</v>
      </c>
      <c r="N54">
        <f t="shared" si="7"/>
        <v>2.5316455696202531E-2</v>
      </c>
    </row>
    <row r="55" spans="10:14" x14ac:dyDescent="0.3">
      <c r="J55">
        <v>996</v>
      </c>
      <c r="K55">
        <v>20</v>
      </c>
      <c r="L55">
        <f t="shared" si="5"/>
        <v>18</v>
      </c>
      <c r="M55">
        <f t="shared" si="6"/>
        <v>2</v>
      </c>
      <c r="N55">
        <f t="shared" si="7"/>
        <v>0.10526315789473684</v>
      </c>
    </row>
    <row r="56" spans="10:14" x14ac:dyDescent="0.3">
      <c r="J56">
        <v>998</v>
      </c>
      <c r="K56">
        <v>10</v>
      </c>
      <c r="L56">
        <f t="shared" si="5"/>
        <v>10</v>
      </c>
      <c r="M56">
        <f t="shared" si="6"/>
        <v>0</v>
      </c>
      <c r="N56">
        <f t="shared" si="7"/>
        <v>0</v>
      </c>
    </row>
  </sheetData>
  <autoFilter ref="J32:N48" xr:uid="{1C77BD49-1E9A-4DE6-B03B-5A85FC83F8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92C3-D231-4403-B960-28E7D0F05E2B}">
  <dimension ref="A2:E26"/>
  <sheetViews>
    <sheetView workbookViewId="0">
      <selection activeCell="E19" sqref="E19"/>
    </sheetView>
  </sheetViews>
  <sheetFormatPr baseColWidth="10" defaultRowHeight="14.4" x14ac:dyDescent="0.3"/>
  <sheetData>
    <row r="2" spans="1:5" x14ac:dyDescent="0.3">
      <c r="A2" t="s">
        <v>0</v>
      </c>
      <c r="E2" t="s">
        <v>0</v>
      </c>
    </row>
    <row r="3" spans="1:5" x14ac:dyDescent="0.3">
      <c r="A3">
        <v>1</v>
      </c>
      <c r="E3">
        <v>1</v>
      </c>
    </row>
    <row r="4" spans="1:5" x14ac:dyDescent="0.3">
      <c r="A4">
        <v>3</v>
      </c>
      <c r="E4">
        <v>3</v>
      </c>
    </row>
    <row r="5" spans="1:5" x14ac:dyDescent="0.3">
      <c r="A5">
        <v>5</v>
      </c>
      <c r="E5">
        <v>5</v>
      </c>
    </row>
    <row r="6" spans="1:5" x14ac:dyDescent="0.3">
      <c r="A6">
        <v>8</v>
      </c>
      <c r="E6">
        <v>8</v>
      </c>
    </row>
    <row r="7" spans="1:5" x14ac:dyDescent="0.3">
      <c r="A7">
        <v>109</v>
      </c>
      <c r="E7">
        <v>109</v>
      </c>
    </row>
    <row r="8" spans="1:5" x14ac:dyDescent="0.3">
      <c r="A8">
        <v>110</v>
      </c>
      <c r="E8">
        <v>110</v>
      </c>
    </row>
    <row r="9" spans="1:5" x14ac:dyDescent="0.3">
      <c r="A9">
        <v>113</v>
      </c>
      <c r="E9">
        <v>113</v>
      </c>
    </row>
    <row r="10" spans="1:5" x14ac:dyDescent="0.3">
      <c r="A10">
        <v>118</v>
      </c>
      <c r="E10">
        <v>118</v>
      </c>
    </row>
    <row r="11" spans="1:5" x14ac:dyDescent="0.3">
      <c r="A11">
        <v>119</v>
      </c>
      <c r="E11">
        <v>119</v>
      </c>
    </row>
    <row r="12" spans="1:5" x14ac:dyDescent="0.3">
      <c r="A12">
        <v>124</v>
      </c>
      <c r="E12">
        <v>124</v>
      </c>
    </row>
    <row r="13" spans="1:5" x14ac:dyDescent="0.3">
      <c r="A13">
        <v>127</v>
      </c>
      <c r="E13">
        <v>127</v>
      </c>
    </row>
    <row r="14" spans="1:5" x14ac:dyDescent="0.3">
      <c r="A14">
        <v>949</v>
      </c>
      <c r="E14">
        <v>949</v>
      </c>
    </row>
    <row r="15" spans="1:5" x14ac:dyDescent="0.3">
      <c r="A15">
        <v>955</v>
      </c>
      <c r="E15">
        <v>955</v>
      </c>
    </row>
    <row r="16" spans="1:5" x14ac:dyDescent="0.3">
      <c r="A16">
        <v>957</v>
      </c>
      <c r="E16">
        <v>957</v>
      </c>
    </row>
    <row r="17" spans="1:5" x14ac:dyDescent="0.3">
      <c r="A17">
        <v>960</v>
      </c>
      <c r="E17">
        <v>960</v>
      </c>
    </row>
    <row r="18" spans="1:5" x14ac:dyDescent="0.3">
      <c r="A18">
        <v>964</v>
      </c>
      <c r="E18">
        <v>964</v>
      </c>
    </row>
    <row r="19" spans="1:5" x14ac:dyDescent="0.3">
      <c r="A19">
        <v>981</v>
      </c>
      <c r="D19" t="s">
        <v>10</v>
      </c>
      <c r="E19">
        <v>968</v>
      </c>
    </row>
    <row r="20" spans="1:5" x14ac:dyDescent="0.3">
      <c r="A20">
        <v>985</v>
      </c>
      <c r="E20">
        <v>981</v>
      </c>
    </row>
    <row r="21" spans="1:5" x14ac:dyDescent="0.3">
      <c r="A21">
        <v>988</v>
      </c>
      <c r="E21">
        <v>985</v>
      </c>
    </row>
    <row r="22" spans="1:5" x14ac:dyDescent="0.3">
      <c r="A22">
        <v>992</v>
      </c>
      <c r="E22">
        <v>988</v>
      </c>
    </row>
    <row r="23" spans="1:5" x14ac:dyDescent="0.3">
      <c r="A23">
        <v>994</v>
      </c>
      <c r="E23">
        <v>992</v>
      </c>
    </row>
    <row r="24" spans="1:5" x14ac:dyDescent="0.3">
      <c r="A24">
        <v>996</v>
      </c>
      <c r="E24">
        <v>994</v>
      </c>
    </row>
    <row r="25" spans="1:5" x14ac:dyDescent="0.3">
      <c r="A25">
        <v>998</v>
      </c>
      <c r="E25">
        <v>996</v>
      </c>
    </row>
    <row r="26" spans="1:5" x14ac:dyDescent="0.3">
      <c r="E26">
        <v>998</v>
      </c>
    </row>
  </sheetData>
  <sortState xmlns:xlrd2="http://schemas.microsoft.com/office/spreadsheetml/2017/richdata2" ref="E3:E26">
    <sortCondition ref="E3:E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Renzo Tovar Moscol</cp:lastModifiedBy>
  <dcterms:created xsi:type="dcterms:W3CDTF">2026-08-01T03:59:02Z</dcterms:created>
  <dcterms:modified xsi:type="dcterms:W3CDTF">2026-08-13T01:03:56Z</dcterms:modified>
</cp:coreProperties>
</file>